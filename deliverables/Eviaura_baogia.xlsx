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0d7202dc6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Gia" sheetId="1" r:id="Rae98058476cc4317"/>
    <x:sheet xmlns:r="http://schemas.openxmlformats.org/officeDocument/2006/relationships" name="TinhGia" sheetId="2" r:id="R13363a5bc65f4e07"/>
    <x:sheet xmlns:r="http://schemas.openxmlformats.org/officeDocument/2006/relationships" name="Sizing" sheetId="3" r:id="R9b4738ac0def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2456A6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384C"/>
      </x:patternFill>
    </x:fill>
    <x:fill>
      <x:patternFill patternType="solid">
        <x:fgColor rgb="FFE4ED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f765d814a4113" /><Relationship Type="http://schemas.openxmlformats.org/officeDocument/2006/relationships/theme" Target="/xl/theme/theme1.xml" Id="R7876eff86c6e4faa" /><Relationship Type="http://schemas.openxmlformats.org/officeDocument/2006/relationships/sharedStrings" Target="/xl/sharedStrings.xml" Id="R1cc4d84da5dd4264" /><Relationship Type="http://schemas.openxmlformats.org/officeDocument/2006/relationships/worksheet" Target="/xl/worksheets/sheet1.xml" Id="Rae98058476cc4317" /><Relationship Type="http://schemas.openxmlformats.org/officeDocument/2006/relationships/worksheet" Target="/xl/worksheets/sheet2.xml" Id="R13363a5bc65f4e07" /><Relationship Type="http://schemas.openxmlformats.org/officeDocument/2006/relationships/worksheet" Target="/xl/worksheets/sheet3.xml" Id="R9b4738ac0def49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384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0" hidden="0" customWidth="1"/>
    <x:col min="3" max="3" width="78" hidden="0" customWidth="1"/>
    <x:col min="4" max="4" width="23" hidden="0" customWidth="1"/>
    <x:col min="5" max="5" width="56" hidden="0" customWidth="1"/>
  </x:cols>
  <x:sheetData>
    <x:row r="1" ht="32" customHeight="1">
      <x:c r="A1" s="5" t="str">
        <x:v>Component</x:v>
      </x:c>
      <x:c r="B1" s="5" t="str">
        <x:v>Ý nghĩa</x:v>
      </x:c>
      <x:c r="C1" s="5" t="str">
        <x:v>Ghi chú</x:v>
      </x:c>
      <x:c r="D1" s="5" t="str">
        <x:v>Chi phí/tháng (USD)</x:v>
      </x:c>
      <x:c r="E1" s="5" t="str">
        <x:v>Bằng chứng</x:v>
      </x:c>
    </x:row>
    <x:row r="2" ht="92" customHeight="1">
      <x:c r="A2" s="3" t="str">
        <x:v>compute</x:v>
      </x:c>
      <x:c r="B2" s="3" t="str">
        <x:v>Chat streaming Lambda ARM</x:v>
      </x:c>
      <x:c r="C2" s="3" t="str">
        <x:v>ap-southeast-1; 512 MB × 20 s × 352000 × 1.05 staging; ARM on-demand execution + requests SKU: KSD76ZR243WEPWRS, V5T5H5YEU5SUN3C2</x:v>
      </x:c>
      <x:c r="D2" s="6" t="n">
        <x:f>TinhGia!C2</x:f>
        <x:v>49.35</x:v>
      </x:c>
      <x:c r="E2" s="3" t="str">
        <x:v>https://pricing.us-east-1.amazonaws.com/offers/v1.0/aws/AWSLambda/20261014171944/ap-southeast-1/index.json</x:v>
      </x:c>
    </x:row>
    <x:row r="3" ht="92" customHeight="1">
      <x:c r="A3" s="3" t="str">
        <x:v>compute</x:v>
      </x:c>
      <x:c r="B3" s="3" t="str">
        <x:v>Background worker và chờ sandbox</x:v>
      </x:c>
      <x:c r="C3" s="3" t="str">
        <x:v>ap-southeast-1; 19% × 352000 × 120 s × 1 GB × 1.05; worker billed during sandbox wait SKU: KSD76ZR243WEPWRS, V5T5H5YEU5SUN3C2</x:v>
      </x:c>
      <x:c r="D3" s="6" t="n">
        <x:f>TinhGia!C3</x:f>
        <x:v>112.37</x:v>
      </x:c>
      <x:c r="E3" s="3" t="str">
        <x:v>https://pricing.us-east-1.amazonaws.com/offers/v1.0/aws/AWSLambda/20261014171944/ap-southeast-1/index.json</x:v>
      </x:c>
    </x:row>
    <x:row r="4" ht="92" customHeight="1">
      <x:c r="A4" s="3" t="str">
        <x:v>compute</x:v>
      </x:c>
      <x:c r="B4" s="3" t="str">
        <x:v>Provisioned concurrency giờ hành chính</x:v>
      </x:c>
      <x:c r="C4" s="3" t="str">
        <x:v>ap-southeast-1; 10 slots × 0.5 GB × 220 h × 3600 × 0.0000041593 USD/GB-s SKU: GWU2KWMWQX7K69Q6</x:v>
      </x:c>
      <x:c r="D4" s="6" t="n">
        <x:f>TinhGia!C4</x:f>
        <x:v>16.47</x:v>
      </x:c>
      <x:c r="E4" s="3" t="str">
        <x:v>https://pricing.us-east-1.amazonaws.com/offers/v1.0/aws/AWSLambda/20261014171944/ap-southeast-1/index.json</x:v>
      </x:c>
    </x:row>
    <x:row r="5" ht="92" customHeight="1">
      <x:c r="A5" s="3" t="str">
        <x:v>llm</x:v>
      </x:c>
      <x:c r="B5" s="3" t="str">
        <x:v>Nova Lite: L1/L2/L5</x:v>
      </x:c>
      <x:c r="C5" s="3" t="str">
        <x:v>ap-southeast-1; APAC inference from Singapore; 0.081 input / 0.324 output USD/M tokens; 5% retry + 5% staging, no cache discount SKU: VZHPZBZDSTK6X8JY, 4EKJAQJ2B86NTSVN</x:v>
      </x:c>
      <x:c r="D5" s="6" t="n">
        <x:f>TinhGia!C5</x:f>
        <x:v>116.68</x:v>
      </x:c>
      <x:c r="E5" s="3" t="str">
        <x:v>https://pricing.us-east-1.amazonaws.com/offers/v1.0/aws/AmazonBedrock/20261014033016/ap-southeast-1/index.json</x:v>
      </x:c>
    </x:row>
    <x:row r="6" ht="92" customHeight="1">
      <x:c r="A6" s="3" t="str">
        <x:v>llm</x:v>
      </x:c>
      <x:c r="B6" s="3" t="str">
        <x:v>Sonnet 4.5: L3/L4 và escalation</x:v>
      </x:c>
      <x:c r="C6" s="3" t="str">
        <x:v>ap-southeast-1; Global inference from Singapore; 3 input / 15 output USD/M; 10% escalation + 5% retry + 5% staging; not Singapore-only residency SKU: HN7W97PW93XZ53AJ, 4A664J28NYJS5ZWH</x:v>
      </x:c>
      <x:c r="D6" s="6" t="n">
        <x:f>TinhGia!C6</x:f>
        <x:v>3834.42</x:v>
      </x:c>
      <x:c r="E6" s="3" t="str">
        <x:v>https://pricing.us-east-1.amazonaws.com/offers/v1.0/aws/AmazonBedrockFoundationModels/20261012084008/ap-southeast-1/index.json</x:v>
      </x:c>
    </x:row>
    <x:row r="7" ht="92" customHeight="1">
      <x:c r="A7" s="3" t="str">
        <x:v>llm</x:v>
      </x:c>
      <x:c r="B7" s="3" t="str">
        <x:v>Stable Image Core: sinh ảnh</x:v>
      </x:c>
      <x:c r="C7" s="3" t="str">
        <x:v>Primary ap-southeast-1; image inference us-west-2; 3520 images × 0.04 USD × 1.05 retry × 1.05 staging; stability.stable-image-core-v1:1; replaces EOL Nova Canvas SKU: NCSHF252RXA4FW7P</x:v>
      </x:c>
      <x:c r="D7" s="6" t="n">
        <x:f>TinhGia!C7</x:f>
        <x:v>155.23</x:v>
      </x:c>
      <x:c r="E7" s="3" t="str">
        <x:v>https://pricing.us-east-1.amazonaws.com/offers/v1.0/aws/AmazonBedrockFoundationModels/20261012084008/us-west-2/index.json</x:v>
      </x:c>
    </x:row>
    <x:row r="8" ht="92" customHeight="1">
      <x:c r="A8" s="3" t="str">
        <x:v>gateway</x:v>
      </x:c>
      <x:c r="B8" s="3" t="str">
        <x:v>API Gateway REST + router</x:v>
      </x:c>
      <x:c r="C8" s="3" t="str">
        <x:v>ap-southeast-1; 1M calls × 4.25 USD/M; managed regional multi-AZ; quota in database SKU: GVUAQ6EVG8QNVVZQ</x:v>
      </x:c>
      <x:c r="D8" s="6" t="n">
        <x:f>TinhGia!C8</x:f>
        <x:v>4.25</x:v>
      </x:c>
      <x:c r="E8" s="3" t="str">
        <x:v>https://pricing.us-east-1.amazonaws.com/offers/v1.0/aws/AmazonApiGateway/20261013003044/ap-southeast-1/index.json</x:v>
      </x:c>
    </x:row>
    <x:row r="9" ht="92" customHeight="1">
      <x:c r="A9" s="3" t="str">
        <x:v>load_balancer</x:v>
      </x:c>
      <x:c r="B9" s="3" t="str">
        <x:v>Managed regional request distribution</x:v>
      </x:c>
      <x:c r="C9" s="3" t="str">
        <x:v>ap-southeast-1; Đã nằm trong API Gateway REST multi-AZ, TLS and routing; no separate ALB SKU: GVUAQ6EVG8QNVVZQ</x:v>
      </x:c>
      <x:c r="D9" s="6" t="n">
        <x:f>TinhGia!C9</x:f>
        <x:v>0</x:v>
      </x:c>
      <x:c r="E9" s="3" t="str">
        <x:v>https://pricing.us-east-1.amazonaws.com/offers/v1.0/aws/AmazonApiGateway/20261013003044/ap-southeast-1/index.json</x:v>
      </x:c>
    </x:row>
    <x:row r="10" ht="92" customHeight="1">
      <x:c r="A10" s="3" t="str">
        <x:v>authn</x:v>
      </x:c>
      <x:c r="B10" s="3" t="str">
        <x:v>Cognito enterprise federation</x:v>
      </x:c>
      <x:c r="C10" s="3" t="str">
        <x:v>ap-southeast-1; 2100 federated MAU × 0.015 USD; corporate IdP enforces MFA; no allowance deducted SKU: BBNTE25DFBR6DDUE</x:v>
      </x:c>
      <x:c r="D10" s="6" t="n">
        <x:f>TinhGia!C10</x:f>
        <x:v>31.5</x:v>
      </x:c>
      <x:c r="E10" s="3" t="str">
        <x:v>https://pricing.us-east-1.amazonaws.com/offers/v1.0/aws/AmazonCognito/20260925193108/ap-southeast-1/index.json</x:v>
      </x:c>
    </x:row>
    <x:row r="11" ht="92" customHeight="1">
      <x:c r="A11" s="3" t="str">
        <x:v>authz</x:v>
      </x:c>
      <x:c r="B11" s="3" t="str">
        <x:v>RBAC/ABAC và ACL kiểm tra lại</x:v>
      </x:c>
      <x:c r="C11" s="3" t="str">
        <x:v>ap-southeast-1; Đã nằm trong compute/database; identity-derived tenant/user, source ACL recheck SKU: YCMS8QPJ7DRVHAXD</x:v>
      </x:c>
      <x:c r="D11" s="6" t="n">
        <x:f>TinhGia!C11</x:f>
        <x:v>0</x:v>
      </x:c>
      <x:c r="E11" s="3" t="str">
        <x:v>https://pricing.us-east-1.amazonaws.com/offers/v1.0/aws/AmazonDynamoDB/20260911124422/ap-southeast-1/index.json</x:v>
      </x:c>
    </x:row>
    <x:row r="12" ht="92" customHeight="1">
      <x:c r="A12" s="3" t="str">
        <x:v>database</x:v>
      </x:c>
      <x:c r="B12" s="3" t="str">
        <x:v>DynamoDB Standard on-demand</x:v>
      </x:c>
      <x:c r="C12" s="3" t="str">
        <x:v>ap-southeast-1; 50 GB × 0.285 + 8M WRU × 0.71/M + 20M RRU × 0.1425/M; prod+staging; managed multi-AZ SKU: YCMS8QPJ7DRVHAXD, PZTVP859DVDCGT8X, XF4WN9CQUFPSY9SQ</x:v>
      </x:c>
      <x:c r="D12" s="6" t="n">
        <x:f>TinhGia!C12</x:f>
        <x:v>22.78</x:v>
      </x:c>
      <x:c r="E12" s="3" t="str">
        <x:v>https://pricing.us-east-1.amazonaws.com/offers/v1.0/aws/AmazonDynamoDB/20260911124422/ap-southeast-1/index.json</x:v>
      </x:c>
    </x:row>
    <x:row r="13" ht="92" customHeight="1">
      <x:c r="A13" s="3" t="str">
        <x:v>vector_db</x:v>
      </x:c>
      <x:c r="B13" s="3" t="str">
        <x:v>S3 Vectors storage and ingestion</x:v>
      </x:c>
      <x:c r="C13" s="3" t="str">
        <x:v>ap-southeast-1; 1M × 6272 bytes / GiB × (0.066 storage + 20% × 0.219 PUT/GB) × 1.05 staging; batched PUT SKU: TQYRQYQZ9D2NQBFF, C4XWGMBV49F5S5BG</x:v>
      </x:c>
      <x:c r="D13" s="6" t="n">
        <x:f>TinhGia!C13</x:f>
        <x:v>0.67</x:v>
      </x:c>
      <x:c r="E13" s="3" t="str">
        <x:v>https://pricing.us-east-1.amazonaws.com/offers/v1.0/aws/AmazonS3/20261015173540/ap-southeast-1/index.json</x:v>
      </x:c>
    </x:row>
    <x:row r="14" ht="92" customHeight="1">
      <x:c r="A14" s="3" t="str">
        <x:v>vector_db</x:v>
      </x:c>
      <x:c r="B14" s="3" t="str">
        <x:v>S3 Vectors queries</x:v>
      </x:c>
      <x:c r="C14" s="3" t="str">
        <x:v>ap-southeast-1; 300000 × (0.0000027/request + index scan: 100K/900K vectors × 5248 bytes, 0.000004278/0.000002139 USD/GB); top20 IDs SKU: K3TQCKX4R94KY574, CNSBKCH89HNFSB7X, UYPBJ8SUXZ632CBS</x:v>
      </x:c>
      <x:c r="D14" s="6" t="n">
        <x:f>TinhGia!C14</x:f>
        <x:v>4.26</x:v>
      </x:c>
      <x:c r="E14" s="3" t="str">
        <x:v>https://pricing.us-east-1.amazonaws.com/offers/v1.0/aws/AmazonS3/20261015173540/ap-southeast-1/index.json</x:v>
      </x:c>
    </x:row>
    <x:row r="15" ht="92" customHeight="1">
      <x:c r="A15" s="3" t="str">
        <x:v>object_storage</x:v>
      </x:c>
      <x:c r="B15" s="3" t="str">
        <x:v>Workspace quota đầy đủ + KB + staging</x:v>
      </x:c>
      <x:c r="C15" s="3" t="str">
        <x:v>ap-southeast-1; 20300 GB × 0.025 USD/GB-month; full 2000 × 10 GB user quota SKU: M6MTARCQFUQBQ2V3</x:v>
      </x:c>
      <x:c r="D15" s="6" t="n">
        <x:f>TinhGia!C15</x:f>
        <x:v>507.5</x:v>
      </x:c>
      <x:c r="E15" s="3" t="str">
        <x:v>https://pricing.us-east-1.amazonaws.com/offers/v1.0/aws/AmazonS3/20261015173540/ap-southeast-1/index.json</x:v>
      </x:c>
    </x:row>
    <x:row r="16" ht="92" customHeight="1">
      <x:c r="A16" s="3" t="str">
        <x:v>object_storage</x:v>
      </x:c>
      <x:c r="B16" s="3" t="str">
        <x:v>S3 object requests</x:v>
      </x:c>
      <x:c r="C16" s="3" t="str">
        <x:v>ap-southeast-1; 2M PUT/LIST × 0.005/1000 + 10M GET × 0.0004/1000 SKU: VHRJWKRHEA6VHEFY, T469UNPYX78434EG</x:v>
      </x:c>
      <x:c r="D16" s="6" t="n">
        <x:f>TinhGia!C16</x:f>
        <x:v>14</x:v>
      </x:c>
      <x:c r="E16" s="3" t="str">
        <x:v>https://pricing.us-east-1.amazonaws.com/offers/v1.0/aws/AmazonS3/20261015173540/ap-southeast-1/index.json</x:v>
      </x:c>
    </x:row>
    <x:row r="17" ht="92" customHeight="1">
      <x:c r="A17" s="3" t="str">
        <x:v>cache_queue</x:v>
      </x:c>
      <x:c r="B17" s="3" t="str">
        <x:v>SQS + TTL cache</x:v>
      </x:c>
      <x:c r="C17" s="3" t="str">
        <x:v>ap-southeast-1; 3M standard requests × 0.40/M; TTL cache nằm trong database; encrypted queue + DLQ SKU: PVF7MDBNRK7V9S5H</x:v>
      </x:c>
      <x:c r="D17" s="6" t="n">
        <x:f>TinhGia!C17</x:f>
        <x:v>1.2</x:v>
      </x:c>
      <x:c r="E17" s="3" t="str">
        <x:v>https://pricing.us-east-1.amazonaws.com/offers/v1.0/aws/AWSQueueService/20260911124607/ap-southeast-1/index.json</x:v>
      </x:c>
    </x:row>
    <x:row r="18" ht="92" customHeight="1">
      <x:c r="A18" s="3" t="str">
        <x:v>sandbox</x:v>
      </x:c>
      <x:c r="B18" s="3" t="str">
        <x:v>AgentCore Code Interpreter VPC</x:v>
      </x:c>
      <x:c r="C18" s="3" t="str">
        <x:v>ap-southeast-1; 35200 × 120s / 3600 × (1 active vCPU × 0.0895/h + 4 GB × 0.00945/h) × 1.05 staging; isolated VPC SKU: FGH5WAQVZXJRQX9H, JEH9TM5GCJ5MKSTU</x:v>
      </x:c>
      <x:c r="D18" s="6" t="n">
        <x:f>TinhGia!C18</x:f>
        <x:v>156.83</x:v>
      </x:c>
      <x:c r="E18" s="3" t="str">
        <x:v>https://pricing.us-east-1.amazonaws.com/offers/v1.0/aws/AmazonBedrockAgentCore/20261014214835/ap-southeast-1/index.json</x:v>
      </x:c>
    </x:row>
    <x:row r="19" ht="92" customHeight="1">
      <x:c r="A19" s="3" t="str">
        <x:v>connectors</x:v>
      </x:c>
      <x:c r="B19" s="3" t="str">
        <x:v>Delegated OAuth Lambda workers</x:v>
      </x:c>
      <x:c r="C19" s="3" t="str">
        <x:v>ap-southeast-1; 1M × 1 GB × 2s × 0.0000133334 + 0.20/M requests; overhead beyond background duration SKU: KSD76ZR243WEPWRS, V5T5H5YEU5SUN3C2</x:v>
      </x:c>
      <x:c r="D19" s="6" t="n">
        <x:f>TinhGia!C19</x:f>
        <x:v>26.87</x:v>
      </x:c>
      <x:c r="E19" s="3" t="str">
        <x:v>https://pricing.us-east-1.amazonaws.com/offers/v1.0/aws/AWSLambda/20261014171944/ap-southeast-1/index.json</x:v>
      </x:c>
    </x:row>
    <x:row r="20" ht="92" customHeight="1">
      <x:c r="A20" s="3" t="str">
        <x:v>secrets_kms</x:v>
      </x:c>
      <x:c r="B20" s="3" t="str">
        <x:v>KMS và OAuth app secrets</x:v>
      </x:c>
      <x:c r="C20" s="3" t="str">
        <x:v>ap-southeast-1; 2 keys × 1 + 1M KMS × 0.03/10000 + 10 secrets × 0.40 + 100K API × 0.05/10000 SKU: R8AEZWXXE7G5EHRZ, 7AVHXGCZK6D9ARBK, J5PMSXRJZ3HNHFEV, KAUJ7G87ND7HD8N8</x:v>
      </x:c>
      <x:c r="D20" s="6" t="n">
        <x:f>TinhGia!C20</x:f>
        <x:v>9.5</x:v>
      </x:c>
      <x:c r="E20" s="3" t="str">
        <x:v>https://pricing.us-east-1.amazonaws.com/offers/v1.0/aws/awskms/20260911124601/ap-southeast-1/index.json; https://pricing.us-east-1.amazonaws.com/offers/v1.0/aws/AWSSecretsManager/20260911124610/ap-southeast-1/index.json</x:v>
      </x:c>
    </x:row>
    <x:row r="21" ht="92" customHeight="1">
      <x:c r="A21" s="3" t="str">
        <x:v>backup_dr</x:v>
      </x:c>
      <x:c r="B21" s="3" t="str">
        <x:v>PITR + object versions + restore drill</x:v>
      </x:c>
      <x:c r="C21" s="3" t="str">
        <x:v>ap-southeast-1; 50 GB PITR × 0.228 + 4000 GB S3 versions × 0.025 + 50 GB backup × 0.114 + 10 GB restore × 0.171; same-region SKU: GSSDTS2TPQ4RHW4R, M6MTARCQFUQBQ2V3, A4JVT7FRHPDGJJKZ, EGZ29Y92CQQP7NGF</x:v>
      </x:c>
      <x:c r="D21" s="6" t="n">
        <x:f>TinhGia!C21</x:f>
        <x:v>118.81</x:v>
      </x:c>
      <x:c r="E21" s="3" t="str">
        <x:v>https://pricing.us-east-1.amazonaws.com/offers/v1.0/aws/AmazonDynamoDB/20260911124422/ap-southeast-1/index.json; https://pricing.us-east-1.amazonaws.com/offers/v1.0/aws/AmazonS3/20261015173540/ap-southeast-1/index.json</x:v>
      </x:c>
    </x:row>
    <x:row r="22" ht="92" customHeight="1">
      <x:c r="A22" s="3" t="str">
        <x:v>monitoring</x:v>
      </x:c>
      <x:c r="B22" s="3" t="str">
        <x:v>CloudWatch + S3 audit 12 tháng</x:v>
      </x:c>
      <x:c r="C22" s="3" t="str">
        <x:v>ap-southeast-1; 20 GB ingest × 0.70 + 20 GB logs × 0.03 + 20 metrics × 0.30 + 10 alarms × 0.10 + 240 GB S3 audit × 0.025 SKU: ZEKCE7VGMSM5XZPW, RKCBFFXUWXG8KUQY, 2BF5WZ4QVWF9XRRT, ERS2PGV5BX4XH4WQ, M6MTARCQFUQBQ2V3</x:v>
      </x:c>
      <x:c r="D22" s="6" t="n">
        <x:f>TinhGia!C22</x:f>
        <x:v>27.6</x:v>
      </x:c>
      <x:c r="E22" s="3" t="str">
        <x:v>https://pricing.us-east-1.amazonaws.com/offers/v1.0/aws/AmazonCloudWatch/20261007115540/ap-southeast-1/index.json; https://pricing.us-east-1.amazonaws.com/offers/v1.0/aws/AmazonS3/20261015173540/ap-southeast-1/index.json</x:v>
      </x:c>
    </x:row>
    <x:row r="23" ht="92" customHeight="1">
      <x:c r="A23" s="3" t="str">
        <x:v>governance</x:v>
      </x:c>
      <x:c r="B23" s="3" t="str">
        <x:v>DLP/guardrail và eval allowance</x:v>
      </x:c>
      <x:c r="C23" s="3" t="str">
        <x:v>ap-southeast-1; DLP and approvals nằm trong compute; 30 USD/month model eval allowance, not a separate managed Guardrails SKU</x:v>
      </x:c>
      <x:c r="D23" s="6" t="n">
        <x:f>TinhGia!C23</x:f>
        <x:v>30</x:v>
      </x:c>
      <x:c r="E23" s="3" t="str">
        <x:v>https://aws.amazon.com/bedrock/pricing/</x:v>
      </x:c>
    </x:row>
    <x:row r="24" ht="92" customHeight="1">
      <x:c r="A24" s="3" t="str">
        <x:v>network</x:v>
      </x:c>
      <x:c r="B24" s="3" t="str">
        <x:v>Internet egress + regional WAF</x:v>
      </x:c>
      <x:c r="C24" s="3" t="str">
        <x:v>ap-southeast-1; 300 GB × 0.12 + 5 ACL + 3 rules × 1 + 1M requests × 0.60/M; image transfer allowance 1 GB SG→Oregon × 0.09 + 5 GB return × 0.02; no NAT SKU: SDHP4R7WGBVJPQPY, 662KTAGFABFH9R5Q, 3YTWKVGN4GJDXWEM, 2K76BPU6EZT96BZ4, YRGJEFXZW24K7ZXS, PQJGBSU7YWWTQH72</x:v>
      </x:c>
      <x:c r="D24" s="6" t="n">
        <x:f>TinhGia!C24</x:f>
        <x:v>44.79</x:v>
      </x:c>
      <x:c r="E24" s="3" t="str">
        <x:v>https://pricing.us-east-1.amazonaws.com/offers/v1.0/aws/AWSDataTransfer/20260916132208/ap-southeast-1/index.json; https://pricing.us-east-1.amazonaws.com/offers/v1.0/aws/awswaf/20260914163921/ap-southeast-1/index.json</x:v>
      </x:c>
    </x:row>
    <x:row r="25" ht="92" customHeight="1">
      <x:c r="A25" s="3" t="str">
        <x:v>cicd</x:v>
      </x:c>
      <x:c r="B25" s="3" t="str">
        <x:v>CodeBuild và staging</x:v>
      </x:c>
      <x:c r="C25" s="3" t="str">
        <x:v>ap-southeast-1; 1000 Linux small build minutes × 0.005; artifacts nằm trong object_storage; 5% staging in compute/model rows SKU: 2FQZXBQT369M266G</x:v>
      </x:c>
      <x:c r="D25" s="6" t="n">
        <x:f>TinhGia!C25</x:f>
        <x:v>5</x:v>
      </x:c>
      <x:c r="E25" s="3" t="str">
        <x:v>https://pricing.us-east-1.amazonaws.com/offers/v1.0/aws/CodeBuild/20260911124625/ap-southeast-1/index.json</x:v>
      </x:c>
    </x:row>
    <x:row r="26" ht="92" customHeight="1">
      <x:c r="A26" s="3" t="str">
        <x:v>embedding</x:v>
      </x:c>
      <x:c r="B26" s="3" t="str">
        <x:v>Titan Text Embeddings V2</x:v>
      </x:c>
      <x:c r="C26" s="3" t="str">
        <x:v>ap-southeast-1; 120M ingestion+query tokens × 0.028 USD/M; first 500M index adds 14 USD one-time SKU: J2CRZZCGSZ9UJNHZ</x:v>
      </x:c>
      <x:c r="D26" s="6" t="n">
        <x:f>TinhGia!C26</x:f>
        <x:v>3.36</x:v>
      </x:c>
      <x:c r="E26" s="3" t="str">
        <x:v>https://pricing.us-east-1.amazonaws.com/offers/v1.0/aws/AmazonBedrock/20261014033016/ap-southeast-1/index.json</x:v>
      </x:c>
    </x:row>
    <x:row r="27" ht="92" customHeight="1">
      <x:c r="A27" s="3" t="str">
        <x:v>ops_labor</x:v>
      </x:c>
      <x:c r="B27" s="3" t="str">
        <x:v>Vận hành và trực giờ hành chính</x:v>
      </x:c>
      <x:c r="C27" s="3" t="str">
        <x:v>ap-southeast-1; 0.10 FTE × 2000 USD/FTE-month; shared business-hours support; 16 h/month</x:v>
      </x:c>
      <x:c r="D27" s="6" t="n">
        <x:f>TinhGia!C27</x:f>
        <x:v>200</x:v>
      </x:c>
      <x:c r="E27" s="3" t="str">
        <x:v>NA</x:v>
      </x:c>
    </x:row>
    <x:row r="28" ht="92" customHeight="1">
      <x:c r="A28" s="3" t="str">
        <x:v>contingency</x:v>
      </x:c>
      <x:c r="B28" s="3" t="str">
        <x:v>Dự phòng biến động tải và đơn giá</x:v>
      </x:c>
      <x:c r="C28" s="3" t="str">
        <x:v>ap-southeast-1; 10% of AWS recurring estimate; not a hard spending cap</x:v>
      </x:c>
      <x:c r="D28" s="6" t="n">
        <x:f>TinhGia!C28</x:f>
        <x:v>529.34</x:v>
      </x:c>
      <x:c r="E28" s="3" t="str">
        <x:v>NA</x:v>
      </x:c>
    </x:row>
    <x:row r="29" ht="70" customHeight="1">
      <x:c r="A29" s="10" t="str">
        <x:v>TOTAL</x:v>
      </x:c>
      <x:c r="B29" s="10" t="str">
        <x:v>Production + staging + vận hành + dự phòng</x:v>
      </x:c>
      <x:c r="C29" s="10" t="str">
        <x:v>ap-southeast-1 primary; model inference has APAC/Global/Oregon exceptions; USD/month, before VAT</x:v>
      </x:c>
      <x:c r="D29" s="11" t="n">
        <x:f>ROUND(SUM(D2:D28),2)</x:f>
        <x:v>6022.78</x:v>
      </x:c>
      <x:c r="E29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E71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78" hidden="0" customWidth="1"/>
    <x:col min="3" max="3" width="18" hidden="0" customWidth="1"/>
    <x:col min="4" max="4" width="54" hidden="0" customWidth="1"/>
    <x:col min="5" max="5" width="18" hidden="0" customWidth="1"/>
    <x:col min="6" max="6" width="40" hidden="0" customWidth="1"/>
  </x:cols>
  <x:sheetData>
    <x:row r="1" ht="32" customHeight="1">
      <x:c r="A1" s="5" t="str">
        <x:v>Hạng mục</x:v>
      </x:c>
      <x:c r="B1" s="5" t="str">
        <x:v>Công thức / giả định</x:v>
      </x:c>
      <x:c r="C1" s="5" t="str">
        <x:v>USD/tháng</x:v>
      </x:c>
      <x:c r="D1" s="5" t="str">
        <x:v>Nguồn</x:v>
      </x:c>
      <x:c r="E1" s="5" t="str">
        <x:v>Ngày kiểm tra</x:v>
      </x:c>
      <x:c r="F1" s="5" t="str">
        <x:v>Trạng thái</x:v>
      </x:c>
    </x:row>
    <x:row r="2" ht="100" customHeight="1">
      <x:c r="A2" s="3" t="str">
        <x:v>Chat streaming Lambda ARM</x:v>
      </x:c>
      <x:c r="B2" s="3" t="str">
        <x:v>ap-southeast-1; 512 MB × 20 s × 352000 × 1.05 staging; ARM on-demand execution + requests SKU: KSD76ZR243WEPWRS, V5T5H5YEU5SUN3C2</x:v>
      </x:c>
      <x:c r="C2" s="7" t="n">
        <x:f>ROUND(.5*20*352000*1.05*1.33334e-05+352000*1.05*2e-07,2)</x:f>
        <x:v>49.35</x:v>
      </x:c>
      <x:c r="D2" s="3" t="str">
        <x:v>https://pricing.us-east-1.amazonaws.com/offers/v1.0/aws/AWSLambda/20261014171944/ap-southeast-1/index.json</x:v>
      </x:c>
      <x:c r="E2" s="3" t="str">
        <x:v>2026-10-16</x:v>
      </x:c>
      <x:c r="F2" s="3" t="str">
        <x:v>AWS public SKU checked: KSD76ZR243WEPWRS, V5T5H5YEU5SUN3C2</x:v>
      </x:c>
    </x:row>
    <x:row r="3" ht="100" customHeight="1">
      <x:c r="A3" s="3" t="str">
        <x:v>Background worker và chờ sandbox</x:v>
      </x:c>
      <x:c r="B3" s="3" t="str">
        <x:v>ap-southeast-1; 19% × 352000 × 120 s × 1 GB × 1.05; worker billed during sandbox wait SKU: KSD76ZR243WEPWRS, V5T5H5YEU5SUN3C2</x:v>
      </x:c>
      <x:c r="C3" s="7" t="n">
        <x:f>ROUND(352000*.19*120*1.05*1.33334e-05+352000*.19*1.05*2e-07,2)</x:f>
        <x:v>112.37</x:v>
      </x:c>
      <x:c r="D3" s="3" t="str">
        <x:v>https://pricing.us-east-1.amazonaws.com/offers/v1.0/aws/AWSLambda/20261014171944/ap-southeast-1/index.json</x:v>
      </x:c>
      <x:c r="E3" s="3" t="str">
        <x:v>2026-10-16</x:v>
      </x:c>
      <x:c r="F3" s="3" t="str">
        <x:v>AWS public SKU checked: KSD76ZR243WEPWRS, V5T5H5YEU5SUN3C2</x:v>
      </x:c>
    </x:row>
    <x:row r="4" ht="100" customHeight="1">
      <x:c r="A4" s="3" t="str">
        <x:v>Provisioned concurrency giờ hành chính</x:v>
      </x:c>
      <x:c r="B4" s="3" t="str">
        <x:v>ap-southeast-1; 10 slots × 0.5 GB × 220 h × 3600 × 0.0000041593 USD/GB-s SKU: GWU2KWMWQX7K69Q6</x:v>
      </x:c>
      <x:c r="C4" s="7" t="n">
        <x:f>ROUND(10*.5*220*3600*4.1593e-06,2)</x:f>
        <x:v>16.47</x:v>
      </x:c>
      <x:c r="D4" s="3" t="str">
        <x:v>https://pricing.us-east-1.amazonaws.com/offers/v1.0/aws/AWSLambda/20261014171944/ap-southeast-1/index.json</x:v>
      </x:c>
      <x:c r="E4" s="3" t="str">
        <x:v>2026-10-16</x:v>
      </x:c>
      <x:c r="F4" s="3" t="str">
        <x:v>AWS public SKU checked: GWU2KWMWQX7K69Q6</x:v>
      </x:c>
    </x:row>
    <x:row r="5" ht="100" customHeight="1">
      <x:c r="A5" s="3" t="str">
        <x:v>Nova Lite: L1/L2/L5</x:v>
      </x:c>
      <x:c r="B5" s="3" t="str">
        <x:v>ap-southeast-1; APAC inference from Singapore; 0.081 input / 0.324 output USD/M tokens; 5% retry + 5% staging, no cache discount SKU: VZHPZBZDSTK6X8JY, 4EKJAQJ2B86NTSVN</x:v>
      </x:c>
      <x:c r="C5" s="7" t="n">
        <x:f>ROUND(105.836544*1.1025,2)</x:f>
        <x:v>116.68</x:v>
      </x:c>
      <x:c r="D5" s="3" t="str">
        <x:v>https://pricing.us-east-1.amazonaws.com/offers/v1.0/aws/AmazonBedrock/20261014033016/ap-southeast-1/index.json</x:v>
      </x:c>
      <x:c r="E5" s="3" t="str">
        <x:v>2026-10-16</x:v>
      </x:c>
      <x:c r="F5" s="3" t="str">
        <x:v>AWS public SKU checked: VZHPZBZDSTK6X8JY, 4EKJAQJ2B86NTSVN</x:v>
      </x:c>
    </x:row>
    <x:row r="6" ht="100" customHeight="1">
      <x:c r="A6" s="3" t="str">
        <x:v>Sonnet 4.5: L3/L4 và escalation</x:v>
      </x:c>
      <x:c r="B6" s="3" t="str">
        <x:v>ap-southeast-1; Global inference from Singapore; 3 input / 15 output USD/M; 10% escalation + 5% retry + 5% staging; not Singapore-only residency SKU: HN7W97PW93XZ53AJ, 4A664J28NYJS5ZWH</x:v>
      </x:c>
      <x:c r="C6" s="7" t="n">
        <x:f>ROUND(3477.9359999999997*1.1025,2)</x:f>
        <x:v>3834.42</x:v>
      </x:c>
      <x:c r="D6" s="3" t="str">
        <x:v>https://pricing.us-east-1.amazonaws.com/offers/v1.0/aws/AmazonBedrockFoundationModels/20261012084008/ap-southeast-1/index.json</x:v>
      </x:c>
      <x:c r="E6" s="3" t="str">
        <x:v>2026-10-16</x:v>
      </x:c>
      <x:c r="F6" s="3" t="str">
        <x:v>AWS public SKU checked: HN7W97PW93XZ53AJ, 4A664J28NYJS5ZWH</x:v>
      </x:c>
    </x:row>
    <x:row r="7" ht="100" customHeight="1">
      <x:c r="A7" s="3" t="str">
        <x:v>Stable Image Core: sinh ảnh</x:v>
      </x:c>
      <x:c r="B7" s="3" t="str">
        <x:v>Primary ap-southeast-1; image inference us-west-2; 3520 images × 0.04 USD × 1.05 retry × 1.05 staging; stability.stable-image-core-v1:1; replaces EOL Nova Canvas SKU: NCSHF252RXA4FW7P</x:v>
      </x:c>
      <x:c r="C7" s="7" t="n">
        <x:f>ROUND(3520*0.04*1.1025,2)</x:f>
        <x:v>155.23</x:v>
      </x:c>
      <x:c r="D7" s="3" t="str">
        <x:v>https://pricing.us-east-1.amazonaws.com/offers/v1.0/aws/AmazonBedrockFoundationModels/20261012084008/us-west-2/index.json</x:v>
      </x:c>
      <x:c r="E7" s="3" t="str">
        <x:v>2026-10-16</x:v>
      </x:c>
      <x:c r="F7" s="3" t="str">
        <x:v>AWS public SKU checked: NCSHF252RXA4FW7P</x:v>
      </x:c>
    </x:row>
    <x:row r="8" ht="100" customHeight="1">
      <x:c r="A8" s="3" t="str">
        <x:v>API Gateway REST + router</x:v>
      </x:c>
      <x:c r="B8" s="3" t="str">
        <x:v>ap-southeast-1; 1M calls × 4.25 USD/M; managed regional multi-AZ; quota in database SKU: GVUAQ6EVG8QNVVZQ</x:v>
      </x:c>
      <x:c r="C8" s="7" t="n">
        <x:f>ROUND(1000000*4.25e-06,2)</x:f>
        <x:v>4.25</x:v>
      </x:c>
      <x:c r="D8" s="3" t="str">
        <x:v>https://pricing.us-east-1.amazonaws.com/offers/v1.0/aws/AmazonApiGateway/20261013003044/ap-southeast-1/index.json</x:v>
      </x:c>
      <x:c r="E8" s="3" t="str">
        <x:v>2026-10-16</x:v>
      </x:c>
      <x:c r="F8" s="3" t="str">
        <x:v>AWS public SKU checked: GVUAQ6EVG8QNVVZQ</x:v>
      </x:c>
    </x:row>
    <x:row r="9" ht="100" customHeight="1">
      <x:c r="A9" s="3" t="str">
        <x:v>Managed regional request distribution</x:v>
      </x:c>
      <x:c r="B9" s="3" t="str">
        <x:v>ap-southeast-1; Đã nằm trong API Gateway REST multi-AZ, TLS and routing; no separate ALB SKU: GVUAQ6EVG8QNVVZQ</x:v>
      </x:c>
      <x:c r="C9" s="7" t="n">
        <x:f>ROUND(0,2)</x:f>
        <x:v>0</x:v>
      </x:c>
      <x:c r="D9" s="3" t="str">
        <x:v>https://pricing.us-east-1.amazonaws.com/offers/v1.0/aws/AmazonApiGateway/20261013003044/ap-southeast-1/index.json</x:v>
      </x:c>
      <x:c r="E9" s="3" t="str">
        <x:v>2026-10-16</x:v>
      </x:c>
      <x:c r="F9" s="3" t="str">
        <x:v>AWS public SKU checked: GVUAQ6EVG8QNVVZQ</x:v>
      </x:c>
    </x:row>
    <x:row r="10" ht="100" customHeight="1">
      <x:c r="A10" s="3" t="str">
        <x:v>Cognito enterprise federation</x:v>
      </x:c>
      <x:c r="B10" s="3" t="str">
        <x:v>ap-southeast-1; 2100 federated MAU × 0.015 USD; corporate IdP enforces MFA; no allowance deducted SKU: BBNTE25DFBR6DDUE</x:v>
      </x:c>
      <x:c r="C10" s="7" t="n">
        <x:f>ROUND(2100*0.015,2)</x:f>
        <x:v>31.5</x:v>
      </x:c>
      <x:c r="D10" s="3" t="str">
        <x:v>https://pricing.us-east-1.amazonaws.com/offers/v1.0/aws/AmazonCognito/20260925193108/ap-southeast-1/index.json</x:v>
      </x:c>
      <x:c r="E10" s="3" t="str">
        <x:v>2026-10-16</x:v>
      </x:c>
      <x:c r="F10" s="3" t="str">
        <x:v>AWS public SKU checked: BBNTE25DFBR6DDUE</x:v>
      </x:c>
    </x:row>
    <x:row r="11" ht="100" customHeight="1">
      <x:c r="A11" s="3" t="str">
        <x:v>RBAC/ABAC và ACL kiểm tra lại</x:v>
      </x:c>
      <x:c r="B11" s="3" t="str">
        <x:v>ap-southeast-1; Đã nằm trong compute/database; identity-derived tenant/user, source ACL recheck SKU: YCMS8QPJ7DRVHAXD</x:v>
      </x:c>
      <x:c r="C11" s="7" t="n">
        <x:f>ROUND(0,2)</x:f>
        <x:v>0</x:v>
      </x:c>
      <x:c r="D11" s="3" t="str">
        <x:v>https://pricing.us-east-1.amazonaws.com/offers/v1.0/aws/AmazonDynamoDB/20260911124422/ap-southeast-1/index.json</x:v>
      </x:c>
      <x:c r="E11" s="3" t="str">
        <x:v>2026-10-16</x:v>
      </x:c>
      <x:c r="F11" s="3" t="str">
        <x:v>AWS public SKU checked: YCMS8QPJ7DRVHAXD</x:v>
      </x:c>
    </x:row>
    <x:row r="12" ht="100" customHeight="1">
      <x:c r="A12" s="3" t="str">
        <x:v>DynamoDB Standard on-demand</x:v>
      </x:c>
      <x:c r="B12" s="3" t="str">
        <x:v>ap-southeast-1; 50 GB × 0.285 + 8M WRU × 0.71/M + 20M RRU × 0.1425/M; prod+staging; managed multi-AZ SKU: YCMS8QPJ7DRVHAXD, PZTVP859DVDCGT8X, XF4WN9CQUFPSY9SQ</x:v>
      </x:c>
      <x:c r="C12" s="7" t="n">
        <x:f>ROUND(50*0.285+8000000*7.1e-07+20000000*1.425e-07,2)</x:f>
        <x:v>22.78</x:v>
      </x:c>
      <x:c r="D12" s="3" t="str">
        <x:v>https://pricing.us-east-1.amazonaws.com/offers/v1.0/aws/AmazonDynamoDB/20260911124422/ap-southeast-1/index.json</x:v>
      </x:c>
      <x:c r="E12" s="3" t="str">
        <x:v>2026-10-16</x:v>
      </x:c>
      <x:c r="F12" s="3" t="str">
        <x:v>AWS public SKU checked: YCMS8QPJ7DRVHAXD, PZTVP859DVDCGT8X, XF4WN9CQUFPSY9SQ</x:v>
      </x:c>
    </x:row>
    <x:row r="13" ht="100" customHeight="1">
      <x:c r="A13" s="3" t="str">
        <x:v>S3 Vectors storage and ingestion</x:v>
      </x:c>
      <x:c r="B13" s="3" t="str">
        <x:v>ap-southeast-1; 1M × 6272 bytes / GiB × (0.066 storage + 20% × 0.219 PUT/GB) × 1.05 staging; batched PUT SKU: TQYRQYQZ9D2NQBFF, C4XWGMBV49F5S5BG</x:v>
      </x:c>
      <x:c r="C13" s="7" t="n">
        <x:f>ROUND(5.841255187988281*(0.066+.2*0.219)*1.05,2)</x:f>
        <x:v>0.67</x:v>
      </x:c>
      <x:c r="D13" s="3" t="str">
        <x:v>https://pricing.us-east-1.amazonaws.com/offers/v1.0/aws/AmazonS3/20261015173540/ap-southeast-1/index.json</x:v>
      </x:c>
      <x:c r="E13" s="3" t="str">
        <x:v>2026-10-16</x:v>
      </x:c>
      <x:c r="F13" s="3" t="str">
        <x:v>AWS public SKU checked: TQYRQYQZ9D2NQBFF, C4XWGMBV49F5S5BG</x:v>
      </x:c>
    </x:row>
    <x:row r="14" ht="100" customHeight="1">
      <x:c r="A14" s="3" t="str">
        <x:v>S3 Vectors queries</x:v>
      </x:c>
      <x:c r="B14" s="3" t="str">
        <x:v>ap-southeast-1; 300000 × (0.0000027/request + index scan: 100K/900K vectors × 5248 bytes, 0.000004278/0.000002139 USD/GB); top20 IDs SKU: K3TQCKX4R94KY574, CNSBKCH89HNFSB7X, UYPBJ8SUXZ632CBS</x:v>
      </x:c>
      <x:c r="C14" s="7" t="n">
        <x:f>ROUND(300000*(2.7e-06+1.1499989032745362e-05),2)</x:f>
        <x:v>4.26</x:v>
      </x:c>
      <x:c r="D14" s="3" t="str">
        <x:v>https://pricing.us-east-1.amazonaws.com/offers/v1.0/aws/AmazonS3/20261015173540/ap-southeast-1/index.json</x:v>
      </x:c>
      <x:c r="E14" s="3" t="str">
        <x:v>2026-10-16</x:v>
      </x:c>
      <x:c r="F14" s="3" t="str">
        <x:v>AWS public SKU checked: K3TQCKX4R94KY574, CNSBKCH89HNFSB7X, UYPBJ8SUXZ632CBS</x:v>
      </x:c>
    </x:row>
    <x:row r="15" ht="100" customHeight="1">
      <x:c r="A15" s="3" t="str">
        <x:v>Workspace quota đầy đủ + KB + staging</x:v>
      </x:c>
      <x:c r="B15" s="3" t="str">
        <x:v>ap-southeast-1; 20300 GB × 0.025 USD/GB-month; full 2000 × 10 GB user quota SKU: M6MTARCQFUQBQ2V3</x:v>
      </x:c>
      <x:c r="C15" s="7" t="n">
        <x:f>ROUND(20300*0.025,2)</x:f>
        <x:v>507.5</x:v>
      </x:c>
      <x:c r="D15" s="3" t="str">
        <x:v>https://pricing.us-east-1.amazonaws.com/offers/v1.0/aws/AmazonS3/20261015173540/ap-southeast-1/index.json</x:v>
      </x:c>
      <x:c r="E15" s="3" t="str">
        <x:v>2026-10-16</x:v>
      </x:c>
      <x:c r="F15" s="3" t="str">
        <x:v>AWS public SKU checked: M6MTARCQFUQBQ2V3</x:v>
      </x:c>
    </x:row>
    <x:row r="16" ht="100" customHeight="1">
      <x:c r="A16" s="3" t="str">
        <x:v>S3 object requests</x:v>
      </x:c>
      <x:c r="B16" s="3" t="str">
        <x:v>ap-southeast-1; 2M PUT/LIST × 0.005/1000 + 10M GET × 0.0004/1000 SKU: VHRJWKRHEA6VHEFY, T469UNPYX78434EG</x:v>
      </x:c>
      <x:c r="C16" s="7" t="n">
        <x:f>ROUND(2000000*5e-06+10000000*4e-07,2)</x:f>
        <x:v>14</x:v>
      </x:c>
      <x:c r="D16" s="3" t="str">
        <x:v>https://pricing.us-east-1.amazonaws.com/offers/v1.0/aws/AmazonS3/20261015173540/ap-southeast-1/index.json</x:v>
      </x:c>
      <x:c r="E16" s="3" t="str">
        <x:v>2026-10-16</x:v>
      </x:c>
      <x:c r="F16" s="3" t="str">
        <x:v>AWS public SKU checked: VHRJWKRHEA6VHEFY, T469UNPYX78434EG</x:v>
      </x:c>
    </x:row>
    <x:row r="17" ht="100" customHeight="1">
      <x:c r="A17" s="3" t="str">
        <x:v>SQS + TTL cache</x:v>
      </x:c>
      <x:c r="B17" s="3" t="str">
        <x:v>ap-southeast-1; 3M standard requests × 0.40/M; TTL cache nằm trong database; encrypted queue + DLQ SKU: PVF7MDBNRK7V9S5H</x:v>
      </x:c>
      <x:c r="C17" s="7" t="n">
        <x:f>ROUND(3000000*4e-07,2)</x:f>
        <x:v>1.2</x:v>
      </x:c>
      <x:c r="D17" s="3" t="str">
        <x:v>https://pricing.us-east-1.amazonaws.com/offers/v1.0/aws/AWSQueueService/20260911124607/ap-southeast-1/index.json</x:v>
      </x:c>
      <x:c r="E17" s="3" t="str">
        <x:v>2026-10-16</x:v>
      </x:c>
      <x:c r="F17" s="3" t="str">
        <x:v>AWS public SKU checked: PVF7MDBNRK7V9S5H</x:v>
      </x:c>
    </x:row>
    <x:row r="18" ht="100" customHeight="1">
      <x:c r="A18" s="3" t="str">
        <x:v>AgentCore Code Interpreter VPC</x:v>
      </x:c>
      <x:c r="B18" s="3" t="str">
        <x:v>ap-southeast-1; 35200 × 120s / 3600 × (1 active vCPU × 0.0895/h + 4 GB × 0.00945/h) × 1.05 staging; isolated VPC SKU: FGH5WAQVZXJRQX9H, JEH9TM5GCJ5MKSTU</x:v>
      </x:c>
      <x:c r="C18" s="7" t="n">
        <x:f>ROUND(35200*120/3600*(0.0895+4*0.00945)*1.05,2)</x:f>
        <x:v>156.83</x:v>
      </x:c>
      <x:c r="D18" s="3" t="str">
        <x:v>https://pricing.us-east-1.amazonaws.com/offers/v1.0/aws/AmazonBedrockAgentCore/20261014214835/ap-southeast-1/index.json</x:v>
      </x:c>
      <x:c r="E18" s="3" t="str">
        <x:v>2026-10-16</x:v>
      </x:c>
      <x:c r="F18" s="3" t="str">
        <x:v>AWS public SKU checked: FGH5WAQVZXJRQX9H, JEH9TM5GCJ5MKSTU</x:v>
      </x:c>
    </x:row>
    <x:row r="19" ht="100" customHeight="1">
      <x:c r="A19" s="3" t="str">
        <x:v>Delegated OAuth Lambda workers</x:v>
      </x:c>
      <x:c r="B19" s="3" t="str">
        <x:v>ap-southeast-1; 1M × 1 GB × 2s × 0.0000133334 + 0.20/M requests; overhead beyond background duration SKU: KSD76ZR243WEPWRS, V5T5H5YEU5SUN3C2</x:v>
      </x:c>
      <x:c r="C19" s="7" t="n">
        <x:f>ROUND(1000000*2*1.33334e-05+1000000*2e-07,2)</x:f>
        <x:v>26.87</x:v>
      </x:c>
      <x:c r="D19" s="3" t="str">
        <x:v>https://pricing.us-east-1.amazonaws.com/offers/v1.0/aws/AWSLambda/20261014171944/ap-southeast-1/index.json</x:v>
      </x:c>
      <x:c r="E19" s="3" t="str">
        <x:v>2026-10-16</x:v>
      </x:c>
      <x:c r="F19" s="3" t="str">
        <x:v>AWS public SKU checked: KSD76ZR243WEPWRS, V5T5H5YEU5SUN3C2</x:v>
      </x:c>
    </x:row>
    <x:row r="20" ht="100" customHeight="1">
      <x:c r="A20" s="3" t="str">
        <x:v>KMS và OAuth app secrets</x:v>
      </x:c>
      <x:c r="B20" s="3" t="str">
        <x:v>ap-southeast-1; 2 keys × 1 + 1M KMS × 0.03/10000 + 10 secrets × 0.40 + 100K API × 0.05/10000 SKU: R8AEZWXXE7G5EHRZ, 7AVHXGCZK6D9ARBK, J5PMSXRJZ3HNHFEV, KAUJ7G87ND7HD8N8</x:v>
      </x:c>
      <x:c r="C20" s="7" t="n">
        <x:f>ROUND(2*1.0+1000000*3e-06+10*0.4+100000*5e-06,2)</x:f>
        <x:v>9.5</x:v>
      </x:c>
      <x:c r="D20" s="3" t="str">
        <x:v>https://pricing.us-east-1.amazonaws.com/offers/v1.0/aws/awskms/20260911124601/ap-southeast-1/index.json; https://pricing.us-east-1.amazonaws.com/offers/v1.0/aws/AWSSecretsManager/20260911124610/ap-southeast-1/index.json</x:v>
      </x:c>
      <x:c r="E20" s="3" t="str">
        <x:v>2026-10-16</x:v>
      </x:c>
      <x:c r="F20" s="3" t="str">
        <x:v>AWS public SKU checked: R8AEZWXXE7G5EHRZ, 7AVHXGCZK6D9ARBK, J5PMSXRJZ3HNHFEV, KAUJ7G87ND7HD8N8</x:v>
      </x:c>
    </x:row>
    <x:row r="21" ht="100" customHeight="1">
      <x:c r="A21" s="3" t="str">
        <x:v>PITR + object versions + restore drill</x:v>
      </x:c>
      <x:c r="B21" s="3" t="str">
        <x:v>ap-southeast-1; 50 GB PITR × 0.228 + 4000 GB S3 versions × 0.025 + 50 GB backup × 0.114 + 10 GB restore × 0.171; same-region SKU: GSSDTS2TPQ4RHW4R, M6MTARCQFUQBQ2V3, A4JVT7FRHPDGJJKZ, EGZ29Y92CQQP7NGF</x:v>
      </x:c>
      <x:c r="C21" s="7" t="n">
        <x:f>ROUND(50*0.228+4000*0.025+50*0.114+10*0.171,2)</x:f>
        <x:v>118.81</x:v>
      </x:c>
      <x:c r="D21" s="3" t="str">
        <x:v>https://pricing.us-east-1.amazonaws.com/offers/v1.0/aws/AmazonDynamoDB/20260911124422/ap-southeast-1/index.json; https://pricing.us-east-1.amazonaws.com/offers/v1.0/aws/AmazonS3/20261015173540/ap-southeast-1/index.json</x:v>
      </x:c>
      <x:c r="E21" s="3" t="str">
        <x:v>2026-10-16</x:v>
      </x:c>
      <x:c r="F21" s="3" t="str">
        <x:v>AWS public SKU checked: GSSDTS2TPQ4RHW4R, M6MTARCQFUQBQ2V3, A4JVT7FRHPDGJJKZ, EGZ29Y92CQQP7NGF</x:v>
      </x:c>
    </x:row>
    <x:row r="22" ht="100" customHeight="1">
      <x:c r="A22" s="3" t="str">
        <x:v>CloudWatch + S3 audit 12 tháng</x:v>
      </x:c>
      <x:c r="B22" s="3" t="str">
        <x:v>ap-southeast-1; 20 GB ingest × 0.70 + 20 GB logs × 0.03 + 20 metrics × 0.30 + 10 alarms × 0.10 + 240 GB S3 audit × 0.025 SKU: ZEKCE7VGMSM5XZPW, RKCBFFXUWXG8KUQY, 2BF5WZ4QVWF9XRRT, ERS2PGV5BX4XH4WQ, M6MTARCQFUQBQ2V3</x:v>
      </x:c>
      <x:c r="C22" s="7" t="n">
        <x:f>ROUND(20*0.7+20*0.03+20*0.3+10*0.1+240*0.025,2)</x:f>
        <x:v>27.6</x:v>
      </x:c>
      <x:c r="D22" s="3" t="str">
        <x:v>https://pricing.us-east-1.amazonaws.com/offers/v1.0/aws/AmazonCloudWatch/20261007115540/ap-southeast-1/index.json; https://pricing.us-east-1.amazonaws.com/offers/v1.0/aws/AmazonS3/20261015173540/ap-southeast-1/index.json</x:v>
      </x:c>
      <x:c r="E22" s="3" t="str">
        <x:v>2026-10-16</x:v>
      </x:c>
      <x:c r="F22" s="3" t="str">
        <x:v>AWS public SKU checked: ZEKCE7VGMSM5XZPW, RKCBFFXUWXG8KUQY, 2BF5WZ4QVWF9XRRT, ERS2PGV5BX4XH4WQ, M6MTARCQFUQBQ2V3</x:v>
      </x:c>
    </x:row>
    <x:row r="23" ht="100" customHeight="1">
      <x:c r="A23" s="3" t="str">
        <x:v>DLP/guardrail và eval allowance</x:v>
      </x:c>
      <x:c r="B23" s="3" t="str">
        <x:v>ap-southeast-1; DLP and approvals nằm trong compute; 30 USD/month model eval allowance, not a separate managed Guardrails SKU</x:v>
      </x:c>
      <x:c r="C23" s="7" t="n">
        <x:f>ROUND(30,2)</x:f>
        <x:v>30</x:v>
      </x:c>
      <x:c r="D23" s="3" t="str">
        <x:v>https://aws.amazon.com/bedrock/pricing/</x:v>
      </x:c>
      <x:c r="E23" s="3" t="str">
        <x:v>2026-10-16</x:v>
      </x:c>
      <x:c r="F23" s="3" t="str">
        <x:v>Assumption / monthly allowance</x:v>
      </x:c>
    </x:row>
    <x:row r="24" ht="100" customHeight="1">
      <x:c r="A24" s="3" t="str">
        <x:v>Internet egress + regional WAF</x:v>
      </x:c>
      <x:c r="B24" s="3" t="str">
        <x:v>ap-southeast-1; 300 GB × 0.12 + 5 ACL + 3 rules × 1 + 1M requests × 0.60/M; image transfer allowance 1 GB SG→Oregon × 0.09 + 5 GB return × 0.02; no NAT SKU: SDHP4R7WGBVJPQPY, 662KTAGFABFH9R5Q, 3YTWKVGN4GJDXWEM, 2K76BPU6EZT96BZ4, YRGJEFXZW24K7ZXS, PQJGBSU7YWWTQH72</x:v>
      </x:c>
      <x:c r="C24" s="7" t="n">
        <x:f>ROUND(300*0.12+5.0+3*1.0+1000000*6e-07+0.09+5*0.02,2)</x:f>
        <x:v>44.79</x:v>
      </x:c>
      <x:c r="D24" s="3" t="str">
        <x:v>https://pricing.us-east-1.amazonaws.com/offers/v1.0/aws/AWSDataTransfer/20260916132208/ap-southeast-1/index.json; https://pricing.us-east-1.amazonaws.com/offers/v1.0/aws/awswaf/20260914163921/ap-southeast-1/index.json</x:v>
      </x:c>
      <x:c r="E24" s="3" t="str">
        <x:v>2026-10-16</x:v>
      </x:c>
      <x:c r="F24" s="3" t="str">
        <x:v>AWS public SKU checked: SDHP4R7WGBVJPQPY, 662KTAGFABFH9R5Q, 3YTWKVGN4GJDXWEM, 2K76BPU6EZT96BZ4, YRGJEFXZW24K7ZXS, PQJGBSU7YWWTQH72</x:v>
      </x:c>
    </x:row>
    <x:row r="25" ht="100" customHeight="1">
      <x:c r="A25" s="3" t="str">
        <x:v>CodeBuild và staging</x:v>
      </x:c>
      <x:c r="B25" s="3" t="str">
        <x:v>ap-southeast-1; 1000 Linux small build minutes × 0.005; artifacts nằm trong object_storage; 5% staging in compute/model rows SKU: 2FQZXBQT369M266G</x:v>
      </x:c>
      <x:c r="C25" s="7" t="n">
        <x:f>ROUND(1000*0.005,2)</x:f>
        <x:v>5</x:v>
      </x:c>
      <x:c r="D25" s="3" t="str">
        <x:v>https://pricing.us-east-1.amazonaws.com/offers/v1.0/aws/CodeBuild/20260911124625/ap-southeast-1/index.json</x:v>
      </x:c>
      <x:c r="E25" s="3" t="str">
        <x:v>2026-10-16</x:v>
      </x:c>
      <x:c r="F25" s="3" t="str">
        <x:v>AWS public SKU checked: 2FQZXBQT369M266G</x:v>
      </x:c>
    </x:row>
    <x:row r="26" ht="100" customHeight="1">
      <x:c r="A26" s="3" t="str">
        <x:v>Titan Text Embeddings V2</x:v>
      </x:c>
      <x:c r="B26" s="3" t="str">
        <x:v>ap-southeast-1; 120M ingestion+query tokens × 0.028 USD/M; first 500M index adds 14 USD one-time SKU: J2CRZZCGSZ9UJNHZ</x:v>
      </x:c>
      <x:c r="C26" s="7" t="n">
        <x:f>ROUND(120000000/1000*2.8e-05,2)</x:f>
        <x:v>3.36</x:v>
      </x:c>
      <x:c r="D26" s="3" t="str">
        <x:v>https://pricing.us-east-1.amazonaws.com/offers/v1.0/aws/AmazonBedrock/20261014033016/ap-southeast-1/index.json</x:v>
      </x:c>
      <x:c r="E26" s="3" t="str">
        <x:v>2026-10-16</x:v>
      </x:c>
      <x:c r="F26" s="3" t="str">
        <x:v>AWS public SKU checked: J2CRZZCGSZ9UJNHZ</x:v>
      </x:c>
    </x:row>
    <x:row r="27" ht="100" customHeight="1">
      <x:c r="A27" s="3" t="str">
        <x:v>Vận hành và trực giờ hành chính</x:v>
      </x:c>
      <x:c r="B27" s="3" t="str">
        <x:v>ap-southeast-1; 0.10 FTE × 2000 USD/FTE-month; shared business-hours support; 16 h/month</x:v>
      </x:c>
      <x:c r="C27" s="7" t="n">
        <x:f>ROUND(200,2)</x:f>
        <x:v>200</x:v>
      </x:c>
      <x:c r="D27" s="3" t="str">
        <x:v>NA</x:v>
      </x:c>
      <x:c r="E27" s="3" t="str">
        <x:v>2026-10-16</x:v>
      </x:c>
      <x:c r="F27" s="3" t="str">
        <x:v>Assumption / monthly allowance</x:v>
      </x:c>
    </x:row>
    <x:row r="28" ht="100" customHeight="1">
      <x:c r="A28" s="3" t="str">
        <x:v>Dự phòng biến động tải và đơn giá</x:v>
      </x:c>
      <x:c r="B28" s="3" t="str">
        <x:v>ap-southeast-1; 10% of AWS recurring estimate; not a hard spending cap</x:v>
      </x:c>
      <x:c r="C28" s="7" t="n">
        <x:f>ROUND(5293.44*.1,2)</x:f>
        <x:v>529.34</x:v>
      </x:c>
      <x:c r="D28" s="3" t="str">
        <x:v>NA</x:v>
      </x:c>
      <x:c r="E28" s="3" t="str">
        <x:v>2026-10-16</x:v>
      </x:c>
      <x:c r="F28" s="3" t="str">
        <x:v>Assumption / monthly allowance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78" hidden="0" customWidth="1"/>
  </x:cols>
  <x:sheetData>
    <x:row r="1" ht="32" customHeight="1">
      <x:c r="A1" s="5" t="str">
        <x:v>Giả định / kết quả</x:v>
      </x:c>
      <x:c r="B1" s="5" t="str">
        <x:v>Giá trị</x:v>
      </x:c>
      <x:c r="C1" s="5" t="str">
        <x:v>Đơn vị / giải thích</x:v>
      </x:c>
    </x:row>
    <x:row r="2" ht="42" customHeight="1">
      <x:c r="A2" s="3" t="str">
        <x:v>dau</x:v>
      </x:c>
      <x:c r="B2" s="3" t="n">
        <x:v>2000</x:v>
      </x:c>
      <x:c r="C2" s="3" t="str">
        <x:v>Input giữ nguyên workload, cập nhật rate Singapore</x:v>
      </x:c>
    </x:row>
    <x:row r="3" ht="42" customHeight="1">
      <x:c r="A3" s="3" t="str">
        <x:v>requests_per_user_day</x:v>
      </x:c>
      <x:c r="B3" s="3" t="n">
        <x:v>8</x:v>
      </x:c>
      <x:c r="C3" s="3" t="str">
        <x:v>Input giữ nguyên workload, cập nhật rate Singapore</x:v>
      </x:c>
    </x:row>
    <x:row r="4" ht="42" customHeight="1">
      <x:c r="A4" s="3" t="str">
        <x:v>workdays</x:v>
      </x:c>
      <x:c r="B4" s="3" t="n">
        <x:v>22</x:v>
      </x:c>
      <x:c r="C4" s="3" t="str">
        <x:v>Input giữ nguyên workload, cập nhật rate Singapore</x:v>
      </x:c>
    </x:row>
    <x:row r="5" ht="42" customHeight="1">
      <x:c r="A5" s="3" t="str">
        <x:v>hours_month</x:v>
      </x:c>
      <x:c r="B5" s="3" t="n">
        <x:v>730</x:v>
      </x:c>
      <x:c r="C5" s="3" t="str">
        <x:v>Input giữ nguyên workload, cập nhật rate Singapore</x:v>
      </x:c>
    </x:row>
    <x:row r="6" ht="42" customHeight="1">
      <x:c r="A6" s="3" t="str">
        <x:v>business_hours</x:v>
      </x:c>
      <x:c r="B6" s="3" t="n">
        <x:v>220</x:v>
      </x:c>
      <x:c r="C6" s="3" t="str">
        <x:v>Input giữ nguyên workload, cập nhật rate Singapore</x:v>
      </x:c>
    </x:row>
    <x:row r="7" ht="42" customHeight="1">
      <x:c r="A7" s="3" t="str">
        <x:v>peak_factor</x:v>
      </x:c>
      <x:c r="B7" s="3" t="n">
        <x:v>6</x:v>
      </x:c>
      <x:c r="C7" s="3" t="str">
        <x:v>Input giữ nguyên workload, cập nhật rate Singapore</x:v>
      </x:c>
    </x:row>
    <x:row r="8" ht="42" customHeight="1">
      <x:c r="A8" s="3" t="str">
        <x:v>staging_ratio</x:v>
      </x:c>
      <x:c r="B8" s="3" t="n">
        <x:v>0.05</x:v>
      </x:c>
      <x:c r="C8" s="3" t="str">
        <x:v>Input giữ nguyên workload, cập nhật rate Singapore</x:v>
      </x:c>
    </x:row>
    <x:row r="9" ht="42" customHeight="1">
      <x:c r="A9" s="3" t="str">
        <x:v>escalation_ratio</x:v>
      </x:c>
      <x:c r="B9" s="3" t="n">
        <x:v>0.1</x:v>
      </x:c>
      <x:c r="C9" s="3" t="str">
        <x:v>Input giữ nguyên workload, cập nhật rate Singapore</x:v>
      </x:c>
    </x:row>
    <x:row r="10" ht="42" customHeight="1">
      <x:c r="A10" s="3" t="str">
        <x:v>workspace_gb_per_user</x:v>
      </x:c>
      <x:c r="B10" s="3" t="n">
        <x:v>10</x:v>
      </x:c>
      <x:c r="C10" s="3" t="str">
        <x:v>Input giữ nguyên workload, cập nhật rate Singapore</x:v>
      </x:c>
    </x:row>
    <x:row r="11" ht="42" customHeight="1">
      <x:c r="A11" s="3" t="str">
        <x:v>retry_ratio</x:v>
      </x:c>
      <x:c r="B11" s="3" t="n">
        <x:v>0.05</x:v>
      </x:c>
      <x:c r="C11" s="3" t="str">
        <x:v>Input giữ nguyên workload, cập nhật rate Singapore</x:v>
      </x:c>
    </x:row>
    <x:row r="12" ht="42" customHeight="1">
      <x:c r="A12" s="3" t="str">
        <x:v>sonnet_input_million</x:v>
      </x:c>
      <x:c r="B12" s="3" t="n">
        <x:v>3</x:v>
      </x:c>
      <x:c r="C12" s="3" t="str">
        <x:v>Input giữ nguyên workload, cập nhật rate Singapore</x:v>
      </x:c>
    </x:row>
    <x:row r="13" ht="42" customHeight="1">
      <x:c r="A13" s="3" t="str">
        <x:v>sonnet_output_million</x:v>
      </x:c>
      <x:c r="B13" s="3" t="n">
        <x:v>15</x:v>
      </x:c>
      <x:c r="C13" s="3" t="str">
        <x:v>Input giữ nguyên workload, cập nhật rate Singapore</x:v>
      </x:c>
    </x:row>
    <x:row r="14" ht="42" customHeight="1">
      <x:c r="A14" s="3" t="str">
        <x:v>nova_input_million</x:v>
      </x:c>
      <x:c r="B14" s="3" t="n">
        <x:v>0.081</x:v>
      </x:c>
      <x:c r="C14" s="3" t="str">
        <x:v>Input giữ nguyên workload, cập nhật rate Singapore</x:v>
      </x:c>
    </x:row>
    <x:row r="15" ht="42" customHeight="1">
      <x:c r="A15" s="3" t="str">
        <x:v>nova_output_million</x:v>
      </x:c>
      <x:c r="B15" s="3" t="n">
        <x:v>0.324</x:v>
      </x:c>
      <x:c r="C15" s="3" t="str">
        <x:v>Input giữ nguyên workload, cập nhật rate Singapore</x:v>
      </x:c>
    </x:row>
    <x:row r="16" ht="42" customHeight="1">
      <x:c r="A16" s="3" t="str">
        <x:v>L1</x:v>
      </x:c>
      <x:c r="B16" s="3" t="n">
        <x:v>211200</x:v>
      </x:c>
      <x:c r="C16" s="3" t="str">
        <x:v>60% tasks; 2000/400 cumulative input/output; Nova Lite</x:v>
      </x:c>
    </x:row>
    <x:row r="17" ht="42" customHeight="1">
      <x:c r="A17" s="3" t="str">
        <x:v>L2</x:v>
      </x:c>
      <x:c r="B17" s="3" t="n">
        <x:v>70400</x:v>
      </x:c>
      <x:c r="C17" s="3" t="str">
        <x:v>20% tasks; 4000/900 cumulative input/output; Nova Lite</x:v>
      </x:c>
    </x:row>
    <x:row r="18" ht="42" customHeight="1">
      <x:c r="A18" s="3" t="str">
        <x:v>L3</x:v>
      </x:c>
      <x:c r="B18" s="3" t="n">
        <x:v>35200</x:v>
      </x:c>
      <x:c r="C18" s="3" t="str">
        <x:v>10% tasks; 6000/1500 cumulative input/output; Claude Sonnet 4.5</x:v>
      </x:c>
    </x:row>
    <x:row r="19" ht="42" customHeight="1">
      <x:c r="A19" s="3" t="str">
        <x:v>L4</x:v>
      </x:c>
      <x:c r="B19" s="3" t="n">
        <x:v>31680</x:v>
      </x:c>
      <x:c r="C19" s="3" t="str">
        <x:v>9% tasks; 9000/1600 cumulative input/output; Claude Sonnet 4.5</x:v>
      </x:c>
    </x:row>
    <x:row r="20" ht="42" customHeight="1">
      <x:c r="A20" s="3" t="str">
        <x:v>L5</x:v>
      </x:c>
      <x:c r="B20" s="3" t="n">
        <x:v>3520</x:v>
      </x:c>
      <x:c r="C20" s="3" t="str">
        <x:v>1% tasks; 2000/300 cumulative input/output; Nova Lite + Stable Image Core (us-west-2)</x:v>
      </x:c>
    </x:row>
    <x:row r="21" ht="42" customHeight="1">
      <x:c r="A21" s="3" t="str">
        <x:v>monthly_requests</x:v>
      </x:c>
      <x:c r="B21" s="3" t="n">
        <x:v>352000</x:v>
      </x:c>
      <x:c r="C21" s="3" t="str">
        <x:v>Snapshot từ cost-model.json, rebuild script để cập nhật</x:v>
      </x:c>
    </x:row>
    <x:row r="22" ht="42" customHeight="1">
      <x:c r="A22" s="3" t="str">
        <x:v>input_tokens_million</x:v>
      </x:c>
      <x:c r="B22" s="3" t="n">
        <x:v>1207.3600000000001</x:v>
      </x:c>
      <x:c r="C22" s="3" t="str">
        <x:v>Snapshot từ cost-model.json, rebuild script để cập nhật</x:v>
      </x:c>
    </x:row>
    <x:row r="23" ht="42" customHeight="1">
      <x:c r="A23" s="3" t="str">
        <x:v>output_tokens_million</x:v>
      </x:c>
      <x:c r="B23" s="3" t="n">
        <x:v>252.384</x:v>
      </x:c>
      <x:c r="C23" s="3" t="str">
        <x:v>Snapshot từ cost-model.json, rebuild script để cập nhật</x:v>
      </x:c>
    </x:row>
    <x:row r="24" ht="42" customHeight="1">
      <x:c r="A24" s="3" t="str">
        <x:v>peak_rps</x:v>
      </x:c>
      <x:c r="B24" s="3" t="n">
        <x:v>2.6666666666666665</x:v>
      </x:c>
      <x:c r="C24" s="3" t="str">
        <x:v>Snapshot từ cost-model.json, rebuild script để cập nhật</x:v>
      </x:c>
    </x:row>
    <x:row r="25" ht="42" customHeight="1">
      <x:c r="A25" s="3" t="str">
        <x:v>peak_concurrency</x:v>
      </x:c>
      <x:c r="B25" s="3" t="n">
        <x:v>53.33333333333333</x:v>
      </x:c>
      <x:c r="C25" s="3" t="str">
        <x:v>Snapshot từ cost-model.json, rebuild script để cập nhật</x:v>
      </x:c>
    </x:row>
    <x:row r="26" ht="42" customHeight="1">
      <x:c r="A26" s="3" t="str">
        <x:v>peak_input_tpm</x:v>
      </x:c>
      <x:c r="B26" s="3" t="n">
        <x:v>548800.0000000001</x:v>
      </x:c>
      <x:c r="C26" s="3" t="str">
        <x:v>Snapshot từ cost-model.json, rebuild script để cập nhật</x:v>
      </x:c>
    </x:row>
    <x:row r="27" ht="42" customHeight="1">
      <x:c r="A27" s="3" t="str">
        <x:v>peak_output_tpm</x:v>
      </x:c>
      <x:c r="B27" s="3" t="n">
        <x:v>114720</x:v>
      </x:c>
      <x:c r="C27" s="3" t="str">
        <x:v>Snapshot từ cost-model.json, rebuild script để cập nhật</x:v>
      </x:c>
    </x:row>
    <x:row r="28" ht="42" customHeight="1">
      <x:c r="A28" s="3" t="str">
        <x:v>aws_recurring</x:v>
      </x:c>
      <x:c r="B28" s="3" t="n">
        <x:v>5293.44</x:v>
      </x:c>
      <x:c r="C28" s="3" t="str">
        <x:v>Snapshot từ cost-model.json, rebuild script để cập nhật</x:v>
      </x:c>
    </x:row>
    <x:row r="29" ht="42" customHeight="1">
      <x:c r="A29" s="3" t="str">
        <x:v>labor</x:v>
      </x:c>
      <x:c r="B29" s="3" t="n">
        <x:v>200</x:v>
      </x:c>
      <x:c r="C29" s="3" t="str">
        <x:v>Snapshot từ cost-model.json, rebuild script để cập nhật</x:v>
      </x:c>
    </x:row>
    <x:row r="30" ht="42" customHeight="1">
      <x:c r="A30" s="3" t="str">
        <x:v>contingency</x:v>
      </x:c>
      <x:c r="B30" s="3" t="n">
        <x:v>529.34</x:v>
      </x:c>
      <x:c r="C30" s="3" t="str">
        <x:v>Snapshot từ cost-model.json, rebuild script để cập nhật</x:v>
      </x:c>
    </x:row>
    <x:row r="31" ht="42" customHeight="1">
      <x:c r="A31" s="3" t="str">
        <x:v>total</x:v>
      </x:c>
      <x:c r="B31" s="3" t="n">
        <x:v>6022.78</x:v>
      </x:c>
      <x:c r="C31" s="3" t="str">
        <x:v>Snapshot từ cost-model.json, rebuild script để cập nhật</x:v>
      </x:c>
    </x:row>
    <x:row r="32" ht="42" customHeight="1">
      <x:c r="A32" s="3" t="str">
        <x:v>per_dau</x:v>
      </x:c>
      <x:c r="B32" s="3" t="n">
        <x:v>3.01</x:v>
      </x:c>
      <x:c r="C32" s="3" t="str">
        <x:v>Snapshot từ cost-model.json, rebuild script để cập nhật</x:v>
      </x:c>
    </x:row>
    <x:row r="33" ht="42" customHeight="1">
      <x:c r="A33" s="3" t="str">
        <x:v>all_reference_total</x:v>
      </x:c>
      <x:c r="B33" s="3" t="n">
        <x:v>10660.42</x:v>
      </x:c>
      <x:c r="C33" s="3" t="str">
        <x:v>Snapshot từ cost-model.json, rebuild script để cập nhật</x:v>
      </x:c>
    </x:row>
    <x:row r="34" ht="42" customHeight="1">
      <x:c r="A34" s="3" t="str">
        <x:v>sparse_workspace_total</x:v>
      </x:c>
      <x:c r="B34" s="3" t="n">
        <x:v>5527.78</x:v>
      </x:c>
      <x:c r="C34" s="3" t="str">
        <x:v>Snapshot từ cost-model.json, rebuild script để cập nhật</x:v>
      </x:c>
    </x:row>
    <x:row r="35" ht="42" customHeight="1">
      <x:c r="A35" s="3" t="str">
        <x:v>double_dau_total</x:v>
      </x:c>
      <x:c r="B35" s="3" t="n">
        <x:v>11945.57</x:v>
      </x:c>
      <x:c r="C35" s="3" t="str">
        <x:v>Snapshot từ cost-model.json, rebuild script để cập nhật</x:v>
      </x:c>
    </x:row>
    <x:row r="36" ht="42" customHeight="1">
      <x:c r="A36" s="3" t="str">
        <x:v>previous_us_east_1_total</x:v>
      </x:c>
      <x:c r="B36" s="3" t="n">
        <x:v>6331.27</x:v>
      </x:c>
      <x:c r="C36" s="3" t="str">
        <x:v>Snapshot từ cost-model.json, rebuild script để cập nhật</x:v>
      </x:c>
    </x:row>
    <x:row r="37" ht="42" customHeight="1">
      <x:c r="A37" s="3" t="str">
        <x:v>delta_vs_previous</x:v>
      </x:c>
      <x:c r="B37" s="3" t="n">
        <x:v>-308.49</x:v>
      </x:c>
      <x:c r="C37" s="3" t="str">
        <x:v>Snapshot từ cost-model.json, rebuild script để cập nhật</x:v>
      </x:c>
    </x:row>
    <x:row r="38" ht="42" customHeight="1">
      <x:c r="A38" s="12" t="str">
        <x:v>Lưu ý</x:v>
      </x:c>
      <x:c r="B38" s="12" t="str">
        <x:v>H6/H8/DR chưa kiểm thử</x:v>
      </x:c>
      <x:c r="C38" s="12" t="str">
        <x:v>SKU prices checked 16/10/2026. Workload, labor and allowance are estimates.</x:v>
      </x:c>
    </x:row>
    <x:row r="39" ht="85" customHeight="1">
      <x:c r="A39" s="12" t="str">
        <x:v>Phạm vi</x:v>
      </x:c>
      <x:c r="B39" s="12" t="str">
        <x:v>ap-southeast-1 primary</x:v>
      </x:c>
      <x:c r="C39" s="12" t="str">
        <x:v>Nova Lite APAC; Sonnet Global from Singapore; Stable Image Core us-west-2. Not Singapore-only data residency.</x:v>
      </x:c>
    </x:row>
  </x:sheetData>
  <x:pageMargins left="0.7" right="0.7" top="0.75" bottom="0.75" header="0.3" footer="0.3"/>
</x:worksheet>
</file>