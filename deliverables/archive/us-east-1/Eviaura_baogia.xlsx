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0ded14a30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Gia" sheetId="1" r:id="R5da1a7bc7ae941eb"/>
    <x:sheet xmlns:r="http://schemas.openxmlformats.org/officeDocument/2006/relationships" name="TinhGia" sheetId="2" r:id="Rb73fad7db10644aa"/>
    <x:sheet xmlns:r="http://schemas.openxmlformats.org/officeDocument/2006/relationships" name="Sizing" sheetId="3" r:id="Rf166ed7fa648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84C"/>
      </x:patternFill>
    </x:fill>
    <x:fill>
      <x:patternFill patternType="solid">
        <x:fgColor rgb="FFE4ED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387b065c1402c" /><Relationship Type="http://schemas.openxmlformats.org/officeDocument/2006/relationships/theme" Target="/xl/theme/theme1.xml" Id="Rbe763351356b40d2" /><Relationship Type="http://schemas.openxmlformats.org/officeDocument/2006/relationships/sharedStrings" Target="/xl/sharedStrings.xml" Id="Re39af74f0feb4cdd" /><Relationship Type="http://schemas.openxmlformats.org/officeDocument/2006/relationships/worksheet" Target="/xl/worksheets/sheet1.xml" Id="R5da1a7bc7ae941eb" /><Relationship Type="http://schemas.openxmlformats.org/officeDocument/2006/relationships/worksheet" Target="/xl/worksheets/sheet2.xml" Id="Rb73fad7db10644aa" /><Relationship Type="http://schemas.openxmlformats.org/officeDocument/2006/relationships/worksheet" Target="/xl/worksheets/sheet3.xml" Id="Rf166ed7fa648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38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78" hidden="0" customWidth="1"/>
    <x:col min="4" max="4" width="23" hidden="0" customWidth="1"/>
    <x:col min="5" max="5" width="56" hidden="0" customWidth="1"/>
  </x:cols>
  <x:sheetData>
    <x:row r="1" ht="32" customHeight="1">
      <x:c r="A1" s="5" t="str">
        <x:v>Component</x:v>
      </x:c>
      <x:c r="B1" s="5" t="str">
        <x:v>Ý nghĩa</x:v>
      </x:c>
      <x:c r="C1" s="5" t="str">
        <x:v>Ghi chú</x:v>
      </x:c>
      <x:c r="D1" s="5" t="str">
        <x:v>Chi phí/tháng (USD)</x:v>
      </x:c>
      <x:c r="E1" s="5" t="str">
        <x:v>Bằng chứng</x:v>
      </x:c>
    </x:row>
    <x:row r="2" ht="58" customHeight="1">
      <x:c r="A2" s="3" t="str">
        <x:v>compute</x:v>
      </x:c>
      <x:c r="B2" s="3" t="str">
        <x:v>Chat streaming Lambda ARM</x:v>
      </x:c>
      <x:c r="C2" s="3" t="str">
        <x:v>us-east-1; 512 MB × 20 s × 352000 × 1.05 staging × 0.0000133334 USD/GB-s + 0.20 USD/M invocation</x:v>
      </x:c>
      <x:c r="D2" s="6" t="n">
        <x:f>TinhGia!C2</x:f>
        <x:v>49.35</x:v>
      </x:c>
      <x:c r="E2" s="3" t="str">
        <x:v>https://aws.amazon.com/lambda/pricing/</x:v>
      </x:c>
    </x:row>
    <x:row r="3" ht="58" customHeight="1">
      <x:c r="A3" s="3" t="str">
        <x:v>compute</x:v>
      </x:c>
      <x:c r="B3" s="3" t="str">
        <x:v>Background worker và chờ sandbox</x:v>
      </x:c>
      <x:c r="C3" s="3" t="str">
        <x:v>us-east-1; 19% tasks × 352000 × 120 s × 1 GB × 1.05 staging × 0.0000133334 USD/GB-s + invocation; separate trusted worker remains billable while waiting</x:v>
      </x:c>
      <x:c r="D3" s="6" t="n">
        <x:f>TinhGia!C3</x:f>
        <x:v>112.37</x:v>
      </x:c>
      <x:c r="E3" s="3" t="str">
        <x:v>https://aws.amazon.com/lambda/pricing/</x:v>
      </x:c>
    </x:row>
    <x:row r="4" ht="58" customHeight="1">
      <x:c r="A4" s="3" t="str">
        <x:v>compute</x:v>
      </x:c>
      <x:c r="B4" s="3" t="str">
        <x:v>Provisioned concurrency giờ hành chính</x:v>
      </x:c>
      <x:c r="C4" s="3" t="str">
        <x:v>us-east-1; 10 warm slots × 0.5 GB × 220 h × 3600 × 0.0000033334; execution conservatively billed at on-demand above</x:v>
      </x:c>
      <x:c r="D4" s="6" t="n">
        <x:f>TinhGia!C4</x:f>
        <x:v>13.2</x:v>
      </x:c>
      <x:c r="E4" s="3" t="str">
        <x:v>https://aws.amazon.com/lambda/pricing/</x:v>
      </x:c>
    </x:row>
    <x:row r="5" ht="58" customHeight="1">
      <x:c r="A5" s="3" t="str">
        <x:v>llm</x:v>
      </x:c>
      <x:c r="B5" s="3" t="str">
        <x:v>Nova Lite: L1/L2/L5</x:v>
      </x:c>
      <x:c r="C5" s="3" t="str">
        <x:v>us-east-1; Cumulative task tokens; 0.06 input / 0.24 output USD per M; 5% retries and 5% staging; no cache discount</x:v>
      </x:c>
      <x:c r="D5" s="6" t="n">
        <x:f>TinhGia!C5</x:f>
        <x:v>86.43</x:v>
      </x:c>
      <x:c r="E5" s="3" t="str">
        <x:v>https://aws.amazon.com/nova/pricing/</x:v>
      </x:c>
    </x:row>
    <x:row r="6" ht="58" customHeight="1">
      <x:c r="A6" s="3" t="str">
        <x:v>llm</x:v>
      </x:c>
      <x:c r="B6" s="3" t="str">
        <x:v>Sonnet 4.5: L3/L4 và escalation</x:v>
      </x:c>
      <x:c r="C6" s="3" t="str">
        <x:v>us-east-1; US geographic inference; 3.30 input / 16.50 output USD per M; 10% escalation of cheap tasks + 5% retry + 5% staging</x:v>
      </x:c>
      <x:c r="D6" s="6" t="n">
        <x:f>TinhGia!C6</x:f>
        <x:v>4217.87</x:v>
      </x:c>
      <x:c r="E6" s="3" t="str">
        <x:v>https://www-cdn.anthropic.com/files/4zrzovbb/website/3684c2faafb97418665782cea0001f439f74b1d2.pdf</x:v>
      </x:c>
    </x:row>
    <x:row r="7" ht="58" customHeight="1">
      <x:c r="A7" s="3" t="str">
        <x:v>llm</x:v>
      </x:c>
      <x:c r="B7" s="3" t="str">
        <x:v>Nova Canvas: ảnh 1024 standard</x:v>
      </x:c>
      <x:c r="C7" s="3" t="str">
        <x:v>us-east-1; 3520 images × 0.04 USD × 1.05 retries × 1.05 staging</x:v>
      </x:c>
      <x:c r="D7" s="6" t="n">
        <x:f>TinhGia!C7</x:f>
        <x:v>155.23</x:v>
      </x:c>
      <x:c r="E7" s="3" t="str">
        <x:v>https://aws.amazon.com/nova/pricing/</x:v>
      </x:c>
    </x:row>
    <x:row r="8" ht="58" customHeight="1">
      <x:c r="A8" s="3" t="str">
        <x:v>gateway</x:v>
      </x:c>
      <x:c r="B8" s="3" t="str">
        <x:v>API Gateway REST + router</x:v>
      </x:c>
      <x:c r="C8" s="3" t="str">
        <x:v>us-east-1; 1000000 API calls × 3.50 USD/M; regional multi-AZ; quota in DynamoDB included in database</x:v>
      </x:c>
      <x:c r="D8" s="6" t="n">
        <x:f>TinhGia!C8</x:f>
        <x:v>3.5</x:v>
      </x:c>
      <x:c r="E8" s="3" t="str">
        <x:v>https://aws.amazon.com/api-gateway/pricing/</x:v>
      </x:c>
    </x:row>
    <x:row r="9" ht="58" customHeight="1">
      <x:c r="A9" s="3" t="str">
        <x:v>load_balancer</x:v>
      </x:c>
      <x:c r="B9" s="3" t="str">
        <x:v>Managed regional request distribution</x:v>
      </x:c>
      <x:c r="C9" s="3" t="str">
        <x:v>us-east-1; Đã nằm trong API Gateway REST, TLS và multi-AZ routing; không thêm ALB</x:v>
      </x:c>
      <x:c r="D9" s="6" t="n">
        <x:f>TinhGia!C9</x:f>
        <x:v>0</x:v>
      </x:c>
      <x:c r="E9" s="3" t="str">
        <x:v>https://aws.amazon.com/api-gateway/pricing/</x:v>
      </x:c>
    </x:row>
    <x:row r="10" ht="58" customHeight="1">
      <x:c r="A10" s="3" t="str">
        <x:v>authn</x:v>
      </x:c>
      <x:c r="B10" s="3" t="str">
        <x:v>Cognito enterprise federation</x:v>
      </x:c>
      <x:c r="C10" s="3" t="str">
        <x:v>us-east-1; 2000 prod + 100 staging federated MAU × 0.015 USD; MFA at corporate IdP; no allowance deducted</x:v>
      </x:c>
      <x:c r="D10" s="6" t="n">
        <x:f>TinhGia!C10</x:f>
        <x:v>31.5</x:v>
      </x:c>
      <x:c r="E10" s="3" t="str">
        <x:v>https://aws.amazon.com/cognito/pricing/</x:v>
      </x:c>
    </x:row>
    <x:row r="11" ht="58" customHeight="1">
      <x:c r="A11" s="3" t="str">
        <x:v>authz</x:v>
      </x:c>
      <x:c r="B11" s="3" t="str">
        <x:v>RBAC/ABAC và ACL kiểm tra lại</x:v>
      </x:c>
      <x:c r="C11" s="3" t="str">
        <x:v>us-east-1; Đã nằm trong compute/database: server derives tenant/user, per-document ACL, deny stale ACL</x:v>
      </x:c>
      <x:c r="D11" s="6" t="n">
        <x:f>TinhGia!C11</x:f>
        <x:v>0</x:v>
      </x:c>
      <x:c r="E11" s="3" t="str">
        <x:v>https://aws.amazon.com/dynamodb/pricing/on-demand/</x:v>
      </x:c>
    </x:row>
    <x:row r="12" ht="58" customHeight="1">
      <x:c r="A12" s="3" t="str">
        <x:v>database</x:v>
      </x:c>
      <x:c r="B12" s="3" t="str">
        <x:v>DynamoDB Standard on-demand</x:v>
      </x:c>
      <x:c r="C12" s="3" t="str">
        <x:v>us-east-1; 50 GB × 0.25 + 8M WRU × 0.625/M + 20M RRU × 0.125/M; includes transactional quota/approvals/token vault ciphertext and staging</x:v>
      </x:c>
      <x:c r="D12" s="6" t="n">
        <x:f>TinhGia!C12</x:f>
        <x:v>20</x:v>
      </x:c>
      <x:c r="E12" s="3" t="str">
        <x:v>https://aws.amazon.com/dynamodb/pricing/on-demand/</x:v>
      </x:c>
    </x:row>
    <x:row r="13" ht="58" customHeight="1">
      <x:c r="A13" s="3" t="str">
        <x:v>vector_db</x:v>
      </x:c>
      <x:c r="B13" s="3" t="str">
        <x:v>S3 Vectors storage and ingestion</x:v>
      </x:c>
      <x:c r="C13" s="3" t="str">
        <x:v>us-east-1; 1000000 × (4096+1024+1024+128) bytes / GiB × 0.06 + 20% monthly PUT × 0.20/GB; prod+staging</x:v>
      </x:c>
      <x:c r="D13" s="6" t="n">
        <x:f>TinhGia!C13</x:f>
        <x:v>0.61</x:v>
      </x:c>
      <x:c r="E13" s="3" t="str">
        <x:v>https://aws.amazon.com/s3/pricing/</x:v>
      </x:c>
    </x:row>
    <x:row r="14" ht="58" customHeight="1">
      <x:c r="A14" s="3" t="str">
        <x:v>vector_db</x:v>
      </x:c>
      <x:c r="B14" s="3" t="str">
        <x:v>S3 Vectors queries</x:v>
      </x:c>
      <x:c r="C14" s="3" t="str">
        <x:v>us-east-1; 300000 queries × (2.50 USD/M + scan 1M vectors, 5248 bytes/vector, tiers 0.004/0.002 USD/TiB); top20 IDs below included return threshold</x:v>
      </x:c>
      <x:c r="D14" s="6" t="n">
        <x:f>TinhGia!C14</x:f>
        <x:v>3.9</x:v>
      </x:c>
      <x:c r="E14" s="3" t="str">
        <x:v>https://aws.amazon.com/s3/pricing/</x:v>
      </x:c>
    </x:row>
    <x:row r="15" ht="58" customHeight="1">
      <x:c r="A15" s="3" t="str">
        <x:v>object_storage</x:v>
      </x:c>
      <x:c r="B15" s="3" t="str">
        <x:v>Workspace quota đầy đủ + KB + staging</x:v>
      </x:c>
      <x:c r="C15" s="3" t="str">
        <x:v>us-east-1; 2000 × 10 GB + 200 GB KB + 100 GB staging = 20300 GB × 0.023 USD/GB-month</x:v>
      </x:c>
      <x:c r="D15" s="6" t="n">
        <x:f>TinhGia!C15</x:f>
        <x:v>466.9</x:v>
      </x:c>
      <x:c r="E15" s="3" t="str">
        <x:v>https://aws.amazon.com/s3/pricing/</x:v>
      </x:c>
    </x:row>
    <x:row r="16" ht="58" customHeight="1">
      <x:c r="A16" s="3" t="str">
        <x:v>object_storage</x:v>
      </x:c>
      <x:c r="B16" s="3" t="str">
        <x:v>S3 object requests</x:v>
      </x:c>
      <x:c r="C16" s="3" t="str">
        <x:v>us-east-1; 2000000 PUT/LIST × 0.005/1000 + 10000000 GET × 0.0004/1000</x:v>
      </x:c>
      <x:c r="D16" s="6" t="n">
        <x:f>TinhGia!C16</x:f>
        <x:v>14</x:v>
      </x:c>
      <x:c r="E16" s="3" t="str">
        <x:v>https://aws.amazon.com/s3/pricing/</x:v>
      </x:c>
    </x:row>
    <x:row r="17" ht="58" customHeight="1">
      <x:c r="A17" s="3" t="str">
        <x:v>cache_queue</x:v>
      </x:c>
      <x:c r="B17" s="3" t="str">
        <x:v>SQS + TTL cache</x:v>
      </x:c>
      <x:c r="C17" s="3" t="str">
        <x:v>us-east-1; 3000000 queue API units × 0.40/M; cache in DynamoDB already in database; encrypted queues + DLQ</x:v>
      </x:c>
      <x:c r="D17" s="6" t="n">
        <x:f>TinhGia!C17</x:f>
        <x:v>1.2</x:v>
      </x:c>
      <x:c r="E17" s="3" t="str">
        <x:v>https://aws.amazon.com/sqs/pricing/</x:v>
      </x:c>
    </x:row>
    <x:row r="18" ht="58" customHeight="1">
      <x:c r="A18" s="3" t="str">
        <x:v>sandbox</x:v>
      </x:c>
      <x:c r="B18" s="3" t="str">
        <x:v>AgentCore Code Interpreter VPC</x:v>
      </x:c>
      <x:c r="C18" s="3" t="str">
        <x:v>us-east-1; 35200 sessions × 120 s × (1 active vCPU × 0.0895/h + 4 GB × 0.00945/h); no assumed idle CPU discount; 5% staging</x:v>
      </x:c>
      <x:c r="D18" s="6" t="n">
        <x:f>TinhGia!C18</x:f>
        <x:v>156.83</x:v>
      </x:c>
      <x:c r="E18" s="3" t="str">
        <x:v>https://aws.amazon.com/bedrock/agentcore/pricing/</x:v>
      </x:c>
    </x:row>
    <x:row r="19" ht="58" customHeight="1">
      <x:c r="A19" s="3" t="str">
        <x:v>connectors</x:v>
      </x:c>
      <x:c r="B19" s="3" t="str">
        <x:v>Delegated OAuth Lambda workers</x:v>
      </x:c>
      <x:c r="C19" s="3" t="str">
        <x:v>us-east-1; 1000000 calls × 1 GB × 2 s × 0.0000133334 + 0.20/M; connector overhead separately budgeted beyond worker job duration; no full-tenant service account</x:v>
      </x:c>
      <x:c r="D19" s="6" t="n">
        <x:f>TinhGia!C19</x:f>
        <x:v>26.87</x:v>
      </x:c>
      <x:c r="E19" s="3" t="str">
        <x:v>https://aws.amazon.com/lambda/pricing/</x:v>
      </x:c>
    </x:row>
    <x:row r="20" ht="58" customHeight="1">
      <x:c r="A20" s="3" t="str">
        <x:v>secrets_kms</x:v>
      </x:c>
      <x:c r="B20" s="3" t="str">
        <x:v>KMS và OAuth app secrets</x:v>
      </x:c>
      <x:c r="C20" s="3" t="str">
        <x:v>us-east-1; 2 customer keys × 1 USD + 1M requests × 0.03/10000 + 10 app secrets × 0.40 + 100000 API × 0.05/10000; user refresh tokens envelope-encrypted in DynamoDB</x:v>
      </x:c>
      <x:c r="D20" s="6" t="n">
        <x:f>TinhGia!C20</x:f>
        <x:v>9.5</x:v>
      </x:c>
      <x:c r="E20" s="3" t="str">
        <x:v>https://aws.amazon.com/kms/pricing/</x:v>
      </x:c>
    </x:row>
    <x:row r="21" ht="58" customHeight="1">
      <x:c r="A21" s="3" t="str">
        <x:v>backup_dr</x:v>
      </x:c>
      <x:c r="B21" s="3" t="str">
        <x:v>PITR + object versions + restore drill</x:v>
      </x:c>
      <x:c r="C21" s="3" t="str">
        <x:v>us-east-1; 50 GB DynamoDB PITR × 0.20 + 4000 GB previous S3 versions × 0.023 + 50 GB monthly backup × 0.10 + 10 GB restore × 0.15; same-region recovery</x:v>
      </x:c>
      <x:c r="D21" s="6" t="n">
        <x:f>TinhGia!C21</x:f>
        <x:v>108.5</x:v>
      </x:c>
      <x:c r="E21" s="3" t="str">
        <x:v>https://aws.amazon.com/dynamodb/pricing/on-demand/</x:v>
      </x:c>
    </x:row>
    <x:row r="22" ht="58" customHeight="1">
      <x:c r="A22" s="3" t="str">
        <x:v>monitoring</x:v>
      </x:c>
      <x:c r="B22" s="3" t="str">
        <x:v>CloudWatch + S3 audit 12 tháng</x:v>
      </x:c>
      <x:c r="C22" s="3" t="str">
        <x:v>us-east-1; 20 GB ingest × 0.50 + 20 GB logs × 0.03 + 20 metrics × 0.30 + 10 alarms × 0.10 + 240 GB audit S3 × 0.023; audit writes included object requests</x:v>
      </x:c>
      <x:c r="D22" s="6" t="n">
        <x:f>TinhGia!C22</x:f>
        <x:v>23.12</x:v>
      </x:c>
      <x:c r="E22" s="3" t="str">
        <x:v>https://aws.amazon.com/cloudwatch/pricing/</x:v>
      </x:c>
    </x:row>
    <x:row r="23" ht="58" customHeight="1">
      <x:c r="A23" s="3" t="str">
        <x:v>governance</x:v>
      </x:c>
      <x:c r="B23" s="3" t="str">
        <x:v>DLP/guardrail và eval allowance</x:v>
      </x:c>
      <x:c r="C23" s="3" t="str">
        <x:v>us-east-1; DLP, injection rules and approvals nằm trong compute; 30 USD monthly reference-model eval/review allowance; fail-closed quality gate; not measured quality evidence</x:v>
      </x:c>
      <x:c r="D23" s="6" t="n">
        <x:f>TinhGia!C23</x:f>
        <x:v>30</x:v>
      </x:c>
      <x:c r="E23" s="3" t="str">
        <x:v>https://aws.amazon.com/bedrock/pricing/</x:v>
      </x:c>
    </x:row>
    <x:row r="24" ht="58" customHeight="1">
      <x:c r="A24" s="3" t="str">
        <x:v>network</x:v>
      </x:c>
      <x:c r="B24" s="3" t="str">
        <x:v>Internet egress + regional WAF</x:v>
      </x:c>
      <x:c r="C24" s="3" t="str">
        <x:v>us-east-1; 300 GB internet egress × 0.09 + 5 USD web ACL + 3 rules × 1 + 1M requests × 0.60; isolated sandbox VPC; no NAT or paid interface endpoints</x:v>
      </x:c>
      <x:c r="D24" s="6" t="n">
        <x:f>TinhGia!C24</x:f>
        <x:v>35.6</x:v>
      </x:c>
      <x:c r="E24" s="3" t="str">
        <x:v>https://aws.amazon.com/waf/pricing/</x:v>
      </x:c>
    </x:row>
    <x:row r="25" ht="58" customHeight="1">
      <x:c r="A25" s="3" t="str">
        <x:v>cicd</x:v>
      </x:c>
      <x:c r="B25" s="3" t="str">
        <x:v>CodeBuild và staging</x:v>
      </x:c>
      <x:c r="C25" s="3" t="str">
        <x:v>us-east-1; 1000 Linux small build minutes × 0.005; IaC/S3 artifacts included object_storage; staging compute/model/db explicitly in respective lines</x:v>
      </x:c>
      <x:c r="D25" s="6" t="n">
        <x:f>TinhGia!C25</x:f>
        <x:v>5</x:v>
      </x:c>
      <x:c r="E25" s="3" t="str">
        <x:v>https://aws.amazon.com/codebuild/pricing/</x:v>
      </x:c>
    </x:row>
    <x:row r="26" ht="58" customHeight="1">
      <x:c r="A26" s="3" t="str">
        <x:v>embedding</x:v>
      </x:c>
      <x:c r="B26" s="3" t="str">
        <x:v>Titan Text Embeddings V2</x:v>
      </x:c>
      <x:c r="C26" s="3" t="str">
        <x:v>us-east-1; 100M monthly ingestion tokens + 20M query tokens × 0.02 USD/M; first index 500M tokens extra 10 USD one-time</x:v>
      </x:c>
      <x:c r="D26" s="6" t="n">
        <x:f>TinhGia!C26</x:f>
        <x:v>2.4</x:v>
      </x:c>
      <x:c r="E26" s="3" t="str">
        <x:v>https://aws.amazon.com/bedrock/pricing/</x:v>
      </x:c>
    </x:row>
    <x:row r="27" ht="58" customHeight="1">
      <x:c r="A27" s="3" t="str">
        <x:v>ops_labor</x:v>
      </x:c>
      <x:c r="B27" s="3" t="str">
        <x:v>Vận hành và trực giờ hành chính</x:v>
      </x:c>
      <x:c r="C27" s="3" t="str">
        <x:v>us-east-1; 0.10 FTE × 2000 USD/FTE-month; 16 h/month; shared business-hours on-call, not dedicated 24/7</x:v>
      </x:c>
      <x:c r="D27" s="6" t="n">
        <x:f>TinhGia!C27</x:f>
        <x:v>200</x:v>
      </x:c>
      <x:c r="E27" s="3" t="str">
        <x:v>NA</x:v>
      </x:c>
    </x:row>
    <x:row r="28" ht="58" customHeight="1">
      <x:c r="A28" s="3" t="str">
        <x:v>contingency</x:v>
      </x:c>
      <x:c r="B28" s="3" t="str">
        <x:v>Dự phòng biến động tải và đơn giá</x:v>
      </x:c>
      <x:c r="C28" s="3" t="str">
        <x:v>us-east-1; 10% of AWS recurring estimate; not a spending cap; exact SKU evidence still needs capture</x:v>
      </x:c>
      <x:c r="D28" s="6" t="n">
        <x:f>TinhGia!C28</x:f>
        <x:v>557.39</x:v>
      </x:c>
      <x:c r="E28" s="3" t="str">
        <x:v>NA</x:v>
      </x:c>
    </x:row>
    <x:row r="29" ht="58" customHeight="1">
      <x:c r="A29" s="10" t="str">
        <x:v>TOTAL</x:v>
      </x:c>
      <x:c r="B29" s="10" t="str">
        <x:v>Production + staging + vận hành + dự phòng</x:v>
      </x:c>
      <x:c r="C29" s="10" t="str">
        <x:v>USD/tháng, chưa VAT; H6/H8/restore chưa đo</x:v>
      </x:c>
      <x:c r="D29" s="11" t="n">
        <x:f>SUM(D2:D28)</x:f>
        <x:v>6331.269999999999</x:v>
      </x:c>
      <x:c r="E2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E71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8" hidden="0" customWidth="1"/>
    <x:col min="3" max="3" width="18" hidden="0" customWidth="1"/>
    <x:col min="4" max="4" width="54" hidden="0" customWidth="1"/>
    <x:col min="5" max="5" width="18" hidden="0" customWidth="1"/>
    <x:col min="6" max="6" width="40" hidden="0" customWidth="1"/>
  </x:cols>
  <x:sheetData>
    <x:row r="1" ht="32" customHeight="1">
      <x:c r="A1" s="5" t="str">
        <x:v>Hạng mục</x:v>
      </x:c>
      <x:c r="B1" s="5" t="str">
        <x:v>Công thức / giả định</x:v>
      </x:c>
      <x:c r="C1" s="5" t="str">
        <x:v>USD/tháng</x:v>
      </x:c>
      <x:c r="D1" s="5" t="str">
        <x:v>Nguồn</x:v>
      </x:c>
      <x:c r="E1" s="5" t="str">
        <x:v>Ngày kiểm tra</x:v>
      </x:c>
      <x:c r="F1" s="5" t="str">
        <x:v>Trạng thái</x:v>
      </x:c>
    </x:row>
    <x:row r="2" ht="76" customHeight="1">
      <x:c r="A2" s="3" t="str">
        <x:v>Chat streaming Lambda ARM</x:v>
      </x:c>
      <x:c r="B2" s="3" t="str">
        <x:v>us-east-1; 512 MB × 20 s × 352000 × 1.05 staging × 0.0000133334 USD/GB-s + 0.20 USD/M invocation</x:v>
      </x:c>
      <x:c r="C2" s="7" t="n">
        <x:v>49.35</x:v>
      </x:c>
      <x:c r="D2" s="3" t="str">
        <x:v>https://aws.amazon.com/lambda/pricing/</x:v>
      </x:c>
      <x:c r="E2" s="3" t="str">
        <x:v>2026-10-16</x:v>
      </x:c>
      <x:c r="F2" s="3" t="str">
        <x:v>Planning rate: cần capture SKU trước nộp</x:v>
      </x:c>
    </x:row>
    <x:row r="3" ht="76" customHeight="1">
      <x:c r="A3" s="3" t="str">
        <x:v>Background worker và chờ sandbox</x:v>
      </x:c>
      <x:c r="B3" s="3" t="str">
        <x:v>us-east-1; 19% tasks × 352000 × 120 s × 1 GB × 1.05 staging × 0.0000133334 USD/GB-s + invocation; separate trusted worker remains billable while waiting</x:v>
      </x:c>
      <x:c r="C3" s="7" t="n">
        <x:v>112.37</x:v>
      </x:c>
      <x:c r="D3" s="3" t="str">
        <x:v>https://aws.amazon.com/lambda/pricing/</x:v>
      </x:c>
      <x:c r="E3" s="3" t="str">
        <x:v>2026-10-16</x:v>
      </x:c>
      <x:c r="F3" s="3" t="str">
        <x:v>Planning rate: cần capture SKU trước nộp</x:v>
      </x:c>
    </x:row>
    <x:row r="4" ht="76" customHeight="1">
      <x:c r="A4" s="3" t="str">
        <x:v>Provisioned concurrency giờ hành chính</x:v>
      </x:c>
      <x:c r="B4" s="3" t="str">
        <x:v>us-east-1; 10 warm slots × 0.5 GB × 220 h × 3600 × 0.0000033334; execution conservatively billed at on-demand above</x:v>
      </x:c>
      <x:c r="C4" s="7" t="n">
        <x:v>13.2</x:v>
      </x:c>
      <x:c r="D4" s="3" t="str">
        <x:v>https://aws.amazon.com/lambda/pricing/</x:v>
      </x:c>
      <x:c r="E4" s="3" t="str">
        <x:v>2026-10-16</x:v>
      </x:c>
      <x:c r="F4" s="3" t="str">
        <x:v>Planning rate: cần capture SKU trước nộp</x:v>
      </x:c>
    </x:row>
    <x:row r="5" ht="76" customHeight="1">
      <x:c r="A5" s="3" t="str">
        <x:v>Nova Lite: L1/L2/L5</x:v>
      </x:c>
      <x:c r="B5" s="3" t="str">
        <x:v>us-east-1; Cumulative task tokens; 0.06 input / 0.24 output USD per M; 5% retries and 5% staging; no cache discount</x:v>
      </x:c>
      <x:c r="C5" s="7" t="n">
        <x:v>86.43</x:v>
      </x:c>
      <x:c r="D5" s="3" t="str">
        <x:v>https://aws.amazon.com/nova/pricing/</x:v>
      </x:c>
      <x:c r="E5" s="3" t="str">
        <x:v>2026-10-16</x:v>
      </x:c>
      <x:c r="F5" s="3" t="str">
        <x:v>Planning rate: cần capture SKU trước nộp</x:v>
      </x:c>
    </x:row>
    <x:row r="6" ht="76" customHeight="1">
      <x:c r="A6" s="3" t="str">
        <x:v>Sonnet 4.5: L3/L4 và escalation</x:v>
      </x:c>
      <x:c r="B6" s="3" t="str">
        <x:v>us-east-1; US geographic inference; 3.30 input / 16.50 output USD per M; 10% escalation of cheap tasks + 5% retry + 5% staging</x:v>
      </x:c>
      <x:c r="C6" s="7" t="n">
        <x:v>4217.87</x:v>
      </x:c>
      <x:c r="D6" s="3" t="str">
        <x:v>https://www-cdn.anthropic.com/files/4zrzovbb/website/3684c2faafb97418665782cea0001f439f74b1d2.pdf</x:v>
      </x:c>
      <x:c r="E6" s="3" t="str">
        <x:v>2026-10-16</x:v>
      </x:c>
      <x:c r="F6" s="3" t="str">
        <x:v>Planning rate: cần capture SKU trước nộp</x:v>
      </x:c>
    </x:row>
    <x:row r="7" ht="76" customHeight="1">
      <x:c r="A7" s="3" t="str">
        <x:v>Nova Canvas: ảnh 1024 standard</x:v>
      </x:c>
      <x:c r="B7" s="3" t="str">
        <x:v>us-east-1; 3520 images × 0.04 USD × 1.05 retries × 1.05 staging</x:v>
      </x:c>
      <x:c r="C7" s="7" t="n">
        <x:v>155.23</x:v>
      </x:c>
      <x:c r="D7" s="3" t="str">
        <x:v>https://aws.amazon.com/nova/pricing/</x:v>
      </x:c>
      <x:c r="E7" s="3" t="str">
        <x:v>2026-10-16</x:v>
      </x:c>
      <x:c r="F7" s="3" t="str">
        <x:v>Planning rate: cần capture SKU trước nộp</x:v>
      </x:c>
    </x:row>
    <x:row r="8" ht="76" customHeight="1">
      <x:c r="A8" s="3" t="str">
        <x:v>API Gateway REST + router</x:v>
      </x:c>
      <x:c r="B8" s="3" t="str">
        <x:v>us-east-1; 1000000 API calls × 3.50 USD/M; regional multi-AZ; quota in DynamoDB included in database</x:v>
      </x:c>
      <x:c r="C8" s="7" t="n">
        <x:v>3.5</x:v>
      </x:c>
      <x:c r="D8" s="3" t="str">
        <x:v>https://aws.amazon.com/api-gateway/pricing/</x:v>
      </x:c>
      <x:c r="E8" s="3" t="str">
        <x:v>2026-10-16</x:v>
      </x:c>
      <x:c r="F8" s="3" t="str">
        <x:v>Planning rate: cần capture SKU trước nộp</x:v>
      </x:c>
    </x:row>
    <x:row r="9" ht="76" customHeight="1">
      <x:c r="A9" s="3" t="str">
        <x:v>Managed regional request distribution</x:v>
      </x:c>
      <x:c r="B9" s="3" t="str">
        <x:v>us-east-1; Đã nằm trong API Gateway REST, TLS và multi-AZ routing; không thêm ALB</x:v>
      </x:c>
      <x:c r="C9" s="7" t="n">
        <x:v>0</x:v>
      </x:c>
      <x:c r="D9" s="3" t="str">
        <x:v>https://aws.amazon.com/api-gateway/pricing/</x:v>
      </x:c>
      <x:c r="E9" s="3" t="str">
        <x:v>2026-10-16</x:v>
      </x:c>
      <x:c r="F9" s="3" t="str">
        <x:v>Planning rate: cần capture SKU trước nộp</x:v>
      </x:c>
    </x:row>
    <x:row r="10" ht="76" customHeight="1">
      <x:c r="A10" s="3" t="str">
        <x:v>Cognito enterprise federation</x:v>
      </x:c>
      <x:c r="B10" s="3" t="str">
        <x:v>us-east-1; 2000 prod + 100 staging federated MAU × 0.015 USD; MFA at corporate IdP; no allowance deducted</x:v>
      </x:c>
      <x:c r="C10" s="7" t="n">
        <x:v>31.5</x:v>
      </x:c>
      <x:c r="D10" s="3" t="str">
        <x:v>https://aws.amazon.com/cognito/pricing/</x:v>
      </x:c>
      <x:c r="E10" s="3" t="str">
        <x:v>2026-10-16</x:v>
      </x:c>
      <x:c r="F10" s="3" t="str">
        <x:v>Planning rate: cần capture SKU trước nộp</x:v>
      </x:c>
    </x:row>
    <x:row r="11" ht="76" customHeight="1">
      <x:c r="A11" s="3" t="str">
        <x:v>RBAC/ABAC và ACL kiểm tra lại</x:v>
      </x:c>
      <x:c r="B11" s="3" t="str">
        <x:v>us-east-1; Đã nằm trong compute/database: server derives tenant/user, per-document ACL, deny stale ACL</x:v>
      </x:c>
      <x:c r="C11" s="7" t="n">
        <x:v>0</x:v>
      </x:c>
      <x:c r="D11" s="3" t="str">
        <x:v>https://aws.amazon.com/dynamodb/pricing/on-demand/</x:v>
      </x:c>
      <x:c r="E11" s="3" t="str">
        <x:v>2026-10-16</x:v>
      </x:c>
      <x:c r="F11" s="3" t="str">
        <x:v>Planning rate: cần capture SKU trước nộp</x:v>
      </x:c>
    </x:row>
    <x:row r="12" ht="76" customHeight="1">
      <x:c r="A12" s="3" t="str">
        <x:v>DynamoDB Standard on-demand</x:v>
      </x:c>
      <x:c r="B12" s="3" t="str">
        <x:v>us-east-1; 50 GB × 0.25 + 8M WRU × 0.625/M + 20M RRU × 0.125/M; includes transactional quota/approvals/token vault ciphertext and staging</x:v>
      </x:c>
      <x:c r="C12" s="7" t="n">
        <x:v>20</x:v>
      </x:c>
      <x:c r="D12" s="3" t="str">
        <x:v>https://aws.amazon.com/dynamodb/pricing/on-demand/</x:v>
      </x:c>
      <x:c r="E12" s="3" t="str">
        <x:v>2026-10-16</x:v>
      </x:c>
      <x:c r="F12" s="3" t="str">
        <x:v>Planning rate: cần capture SKU trước nộp</x:v>
      </x:c>
    </x:row>
    <x:row r="13" ht="76" customHeight="1">
      <x:c r="A13" s="3" t="str">
        <x:v>S3 Vectors storage and ingestion</x:v>
      </x:c>
      <x:c r="B13" s="3" t="str">
        <x:v>us-east-1; 1000000 × (4096+1024+1024+128) bytes / GiB × 0.06 + 20% monthly PUT × 0.20/GB; prod+staging</x:v>
      </x:c>
      <x:c r="C13" s="7" t="n">
        <x:v>0.61</x:v>
      </x:c>
      <x:c r="D13" s="3" t="str">
        <x:v>https://aws.amazon.com/s3/pricing/</x:v>
      </x:c>
      <x:c r="E13" s="3" t="str">
        <x:v>2026-10-16</x:v>
      </x:c>
      <x:c r="F13" s="3" t="str">
        <x:v>Planning rate: cần capture SKU trước nộp</x:v>
      </x:c>
    </x:row>
    <x:row r="14" ht="76" customHeight="1">
      <x:c r="A14" s="3" t="str">
        <x:v>S3 Vectors queries</x:v>
      </x:c>
      <x:c r="B14" s="3" t="str">
        <x:v>us-east-1; 300000 queries × (2.50 USD/M + scan 1M vectors, 5248 bytes/vector, tiers 0.004/0.002 USD/TiB); top20 IDs below included return threshold</x:v>
      </x:c>
      <x:c r="C14" s="7" t="n">
        <x:v>3.9</x:v>
      </x:c>
      <x:c r="D14" s="3" t="str">
        <x:v>https://aws.amazon.com/s3/pricing/</x:v>
      </x:c>
      <x:c r="E14" s="3" t="str">
        <x:v>2026-10-16</x:v>
      </x:c>
      <x:c r="F14" s="3" t="str">
        <x:v>Planning rate: cần capture SKU trước nộp</x:v>
      </x:c>
    </x:row>
    <x:row r="15" ht="76" customHeight="1">
      <x:c r="A15" s="3" t="str">
        <x:v>Workspace quota đầy đủ + KB + staging</x:v>
      </x:c>
      <x:c r="B15" s="3" t="str">
        <x:v>us-east-1; 2000 × 10 GB + 200 GB KB + 100 GB staging = 20300 GB × 0.023 USD/GB-month</x:v>
      </x:c>
      <x:c r="C15" s="7" t="n">
        <x:v>466.9</x:v>
      </x:c>
      <x:c r="D15" s="3" t="str">
        <x:v>https://aws.amazon.com/s3/pricing/</x:v>
      </x:c>
      <x:c r="E15" s="3" t="str">
        <x:v>2026-10-16</x:v>
      </x:c>
      <x:c r="F15" s="3" t="str">
        <x:v>Planning rate: cần capture SKU trước nộp</x:v>
      </x:c>
    </x:row>
    <x:row r="16" ht="76" customHeight="1">
      <x:c r="A16" s="3" t="str">
        <x:v>S3 object requests</x:v>
      </x:c>
      <x:c r="B16" s="3" t="str">
        <x:v>us-east-1; 2000000 PUT/LIST × 0.005/1000 + 10000000 GET × 0.0004/1000</x:v>
      </x:c>
      <x:c r="C16" s="7" t="n">
        <x:v>14</x:v>
      </x:c>
      <x:c r="D16" s="3" t="str">
        <x:v>https://aws.amazon.com/s3/pricing/</x:v>
      </x:c>
      <x:c r="E16" s="3" t="str">
        <x:v>2026-10-16</x:v>
      </x:c>
      <x:c r="F16" s="3" t="str">
        <x:v>Planning rate: cần capture SKU trước nộp</x:v>
      </x:c>
    </x:row>
    <x:row r="17" ht="76" customHeight="1">
      <x:c r="A17" s="3" t="str">
        <x:v>SQS + TTL cache</x:v>
      </x:c>
      <x:c r="B17" s="3" t="str">
        <x:v>us-east-1; 3000000 queue API units × 0.40/M; cache in DynamoDB already in database; encrypted queues + DLQ</x:v>
      </x:c>
      <x:c r="C17" s="7" t="n">
        <x:v>1.2</x:v>
      </x:c>
      <x:c r="D17" s="3" t="str">
        <x:v>https://aws.amazon.com/sqs/pricing/</x:v>
      </x:c>
      <x:c r="E17" s="3" t="str">
        <x:v>2026-10-16</x:v>
      </x:c>
      <x:c r="F17" s="3" t="str">
        <x:v>Planning rate: cần capture SKU trước nộp</x:v>
      </x:c>
    </x:row>
    <x:row r="18" ht="76" customHeight="1">
      <x:c r="A18" s="3" t="str">
        <x:v>AgentCore Code Interpreter VPC</x:v>
      </x:c>
      <x:c r="B18" s="3" t="str">
        <x:v>us-east-1; 35200 sessions × 120 s × (1 active vCPU × 0.0895/h + 4 GB × 0.00945/h); no assumed idle CPU discount; 5% staging</x:v>
      </x:c>
      <x:c r="C18" s="7" t="n">
        <x:v>156.83</x:v>
      </x:c>
      <x:c r="D18" s="3" t="str">
        <x:v>https://aws.amazon.com/bedrock/agentcore/pricing/</x:v>
      </x:c>
      <x:c r="E18" s="3" t="str">
        <x:v>2026-10-16</x:v>
      </x:c>
      <x:c r="F18" s="3" t="str">
        <x:v>Planning rate: cần capture SKU trước nộp</x:v>
      </x:c>
    </x:row>
    <x:row r="19" ht="76" customHeight="1">
      <x:c r="A19" s="3" t="str">
        <x:v>Delegated OAuth Lambda workers</x:v>
      </x:c>
      <x:c r="B19" s="3" t="str">
        <x:v>us-east-1; 1000000 calls × 1 GB × 2 s × 0.0000133334 + 0.20/M; connector overhead separately budgeted beyond worker job duration; no full-tenant service account</x:v>
      </x:c>
      <x:c r="C19" s="7" t="n">
        <x:v>26.87</x:v>
      </x:c>
      <x:c r="D19" s="3" t="str">
        <x:v>https://aws.amazon.com/lambda/pricing/</x:v>
      </x:c>
      <x:c r="E19" s="3" t="str">
        <x:v>2026-10-16</x:v>
      </x:c>
      <x:c r="F19" s="3" t="str">
        <x:v>Planning rate: cần capture SKU trước nộp</x:v>
      </x:c>
    </x:row>
    <x:row r="20" ht="76" customHeight="1">
      <x:c r="A20" s="3" t="str">
        <x:v>KMS và OAuth app secrets</x:v>
      </x:c>
      <x:c r="B20" s="3" t="str">
        <x:v>us-east-1; 2 customer keys × 1 USD + 1M requests × 0.03/10000 + 10 app secrets × 0.40 + 100000 API × 0.05/10000; user refresh tokens envelope-encrypted in DynamoDB</x:v>
      </x:c>
      <x:c r="C20" s="7" t="n">
        <x:v>9.5</x:v>
      </x:c>
      <x:c r="D20" s="3" t="str">
        <x:v>https://aws.amazon.com/kms/pricing/</x:v>
      </x:c>
      <x:c r="E20" s="3" t="str">
        <x:v>2026-10-16</x:v>
      </x:c>
      <x:c r="F20" s="3" t="str">
        <x:v>Planning rate: cần capture SKU trước nộp</x:v>
      </x:c>
    </x:row>
    <x:row r="21" ht="76" customHeight="1">
      <x:c r="A21" s="3" t="str">
        <x:v>PITR + object versions + restore drill</x:v>
      </x:c>
      <x:c r="B21" s="3" t="str">
        <x:v>us-east-1; 50 GB DynamoDB PITR × 0.20 + 4000 GB previous S3 versions × 0.023 + 50 GB monthly backup × 0.10 + 10 GB restore × 0.15; same-region recovery</x:v>
      </x:c>
      <x:c r="C21" s="7" t="n">
        <x:v>108.5</x:v>
      </x:c>
      <x:c r="D21" s="3" t="str">
        <x:v>https://aws.amazon.com/dynamodb/pricing/on-demand/</x:v>
      </x:c>
      <x:c r="E21" s="3" t="str">
        <x:v>2026-10-16</x:v>
      </x:c>
      <x:c r="F21" s="3" t="str">
        <x:v>Planning rate: cần capture SKU trước nộp</x:v>
      </x:c>
    </x:row>
    <x:row r="22" ht="76" customHeight="1">
      <x:c r="A22" s="3" t="str">
        <x:v>CloudWatch + S3 audit 12 tháng</x:v>
      </x:c>
      <x:c r="B22" s="3" t="str">
        <x:v>us-east-1; 20 GB ingest × 0.50 + 20 GB logs × 0.03 + 20 metrics × 0.30 + 10 alarms × 0.10 + 240 GB audit S3 × 0.023; audit writes included object requests</x:v>
      </x:c>
      <x:c r="C22" s="7" t="n">
        <x:v>23.12</x:v>
      </x:c>
      <x:c r="D22" s="3" t="str">
        <x:v>https://aws.amazon.com/cloudwatch/pricing/</x:v>
      </x:c>
      <x:c r="E22" s="3" t="str">
        <x:v>2026-10-16</x:v>
      </x:c>
      <x:c r="F22" s="3" t="str">
        <x:v>Planning rate: cần capture SKU trước nộp</x:v>
      </x:c>
    </x:row>
    <x:row r="23" ht="76" customHeight="1">
      <x:c r="A23" s="3" t="str">
        <x:v>DLP/guardrail và eval allowance</x:v>
      </x:c>
      <x:c r="B23" s="3" t="str">
        <x:v>us-east-1; DLP, injection rules and approvals nằm trong compute; 30 USD monthly reference-model eval/review allowance; fail-closed quality gate; not measured quality evidence</x:v>
      </x:c>
      <x:c r="C23" s="7" t="n">
        <x:v>30</x:v>
      </x:c>
      <x:c r="D23" s="3" t="str">
        <x:v>https://aws.amazon.com/bedrock/pricing/</x:v>
      </x:c>
      <x:c r="E23" s="3" t="str">
        <x:v>2026-10-16</x:v>
      </x:c>
      <x:c r="F23" s="3" t="str">
        <x:v>Planning rate: cần capture SKU trước nộp</x:v>
      </x:c>
    </x:row>
    <x:row r="24" ht="76" customHeight="1">
      <x:c r="A24" s="3" t="str">
        <x:v>Internet egress + regional WAF</x:v>
      </x:c>
      <x:c r="B24" s="3" t="str">
        <x:v>us-east-1; 300 GB internet egress × 0.09 + 5 USD web ACL + 3 rules × 1 + 1M requests × 0.60; isolated sandbox VPC; no NAT or paid interface endpoints</x:v>
      </x:c>
      <x:c r="C24" s="7" t="n">
        <x:v>35.6</x:v>
      </x:c>
      <x:c r="D24" s="3" t="str">
        <x:v>https://aws.amazon.com/waf/pricing/</x:v>
      </x:c>
      <x:c r="E24" s="3" t="str">
        <x:v>2026-10-16</x:v>
      </x:c>
      <x:c r="F24" s="3" t="str">
        <x:v>Planning rate: cần capture SKU trước nộp</x:v>
      </x:c>
    </x:row>
    <x:row r="25" ht="76" customHeight="1">
      <x:c r="A25" s="3" t="str">
        <x:v>CodeBuild và staging</x:v>
      </x:c>
      <x:c r="B25" s="3" t="str">
        <x:v>us-east-1; 1000 Linux small build minutes × 0.005; IaC/S3 artifacts included object_storage; staging compute/model/db explicitly in respective lines</x:v>
      </x:c>
      <x:c r="C25" s="7" t="n">
        <x:v>5</x:v>
      </x:c>
      <x:c r="D25" s="3" t="str">
        <x:v>https://aws.amazon.com/codebuild/pricing/</x:v>
      </x:c>
      <x:c r="E25" s="3" t="str">
        <x:v>2026-10-16</x:v>
      </x:c>
      <x:c r="F25" s="3" t="str">
        <x:v>Planning rate: cần capture SKU trước nộp</x:v>
      </x:c>
    </x:row>
    <x:row r="26" ht="76" customHeight="1">
      <x:c r="A26" s="3" t="str">
        <x:v>Titan Text Embeddings V2</x:v>
      </x:c>
      <x:c r="B26" s="3" t="str">
        <x:v>us-east-1; 100M monthly ingestion tokens + 20M query tokens × 0.02 USD/M; first index 500M tokens extra 10 USD one-time</x:v>
      </x:c>
      <x:c r="C26" s="7" t="n">
        <x:v>2.4</x:v>
      </x:c>
      <x:c r="D26" s="3" t="str">
        <x:v>https://aws.amazon.com/bedrock/pricing/</x:v>
      </x:c>
      <x:c r="E26" s="3" t="str">
        <x:v>2026-10-16</x:v>
      </x:c>
      <x:c r="F26" s="3" t="str">
        <x:v>Planning rate: cần capture SKU trước nộp</x:v>
      </x:c>
    </x:row>
    <x:row r="27" ht="76" customHeight="1">
      <x:c r="A27" s="3" t="str">
        <x:v>Vận hành và trực giờ hành chính</x:v>
      </x:c>
      <x:c r="B27" s="3" t="str">
        <x:v>us-east-1; 0.10 FTE × 2000 USD/FTE-month; 16 h/month; shared business-hours on-call, not dedicated 24/7</x:v>
      </x:c>
      <x:c r="C27" s="7" t="n">
        <x:v>200</x:v>
      </x:c>
      <x:c r="D27" s="3" t="str">
        <x:v>NA</x:v>
      </x:c>
      <x:c r="E27" s="3" t="str">
        <x:v>2026-10-16</x:v>
      </x:c>
      <x:c r="F27" s="3" t="str">
        <x:v>Planning rate: cần capture SKU trước nộp</x:v>
      </x:c>
    </x:row>
    <x:row r="28" ht="76" customHeight="1">
      <x:c r="A28" s="3" t="str">
        <x:v>Dự phòng biến động tải và đơn giá</x:v>
      </x:c>
      <x:c r="B28" s="3" t="str">
        <x:v>us-east-1; 10% of AWS recurring estimate; not a spending cap; exact SKU evidence still needs capture</x:v>
      </x:c>
      <x:c r="C28" s="7" t="n">
        <x:v>557.39</x:v>
      </x:c>
      <x:c r="D28" s="3" t="str">
        <x:v>NA</x:v>
      </x:c>
      <x:c r="E28" s="3" t="str">
        <x:v>2026-10-16</x:v>
      </x:c>
      <x:c r="F28" s="3" t="str">
        <x:v>Planning rate: cần capture SKU trước nộp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78" hidden="0" customWidth="1"/>
  </x:cols>
  <x:sheetData>
    <x:row r="1" ht="32" customHeight="1">
      <x:c r="A1" s="5" t="str">
        <x:v>Giả định / kết quả</x:v>
      </x:c>
      <x:c r="B1" s="5" t="str">
        <x:v>Giá trị</x:v>
      </x:c>
      <x:c r="C1" s="5" t="str">
        <x:v>Đơn vị / giải thích</x:v>
      </x:c>
    </x:row>
    <x:row r="2" ht="38" customHeight="1">
      <x:c r="A2" s="3" t="str">
        <x:v>dau</x:v>
      </x:c>
      <x:c r="B2" s="3" t="n">
        <x:v>2000</x:v>
      </x:c>
      <x:c r="C2" s="3" t="str">
        <x:v>Input</x:v>
      </x:c>
    </x:row>
    <x:row r="3" ht="38" customHeight="1">
      <x:c r="A3" s="3" t="str">
        <x:v>requests_per_user_day</x:v>
      </x:c>
      <x:c r="B3" s="3" t="n">
        <x:v>8</x:v>
      </x:c>
      <x:c r="C3" s="3" t="str">
        <x:v>Input</x:v>
      </x:c>
    </x:row>
    <x:row r="4" ht="38" customHeight="1">
      <x:c r="A4" s="3" t="str">
        <x:v>workdays</x:v>
      </x:c>
      <x:c r="B4" s="3" t="n">
        <x:v>22</x:v>
      </x:c>
      <x:c r="C4" s="3" t="str">
        <x:v>Input</x:v>
      </x:c>
    </x:row>
    <x:row r="5" ht="38" customHeight="1">
      <x:c r="A5" s="3" t="str">
        <x:v>hours_month</x:v>
      </x:c>
      <x:c r="B5" s="3" t="n">
        <x:v>730</x:v>
      </x:c>
      <x:c r="C5" s="3" t="str">
        <x:v>Input</x:v>
      </x:c>
    </x:row>
    <x:row r="6" ht="38" customHeight="1">
      <x:c r="A6" s="3" t="str">
        <x:v>business_hours</x:v>
      </x:c>
      <x:c r="B6" s="3" t="n">
        <x:v>220</x:v>
      </x:c>
      <x:c r="C6" s="3" t="str">
        <x:v>Input</x:v>
      </x:c>
    </x:row>
    <x:row r="7" ht="38" customHeight="1">
      <x:c r="A7" s="3" t="str">
        <x:v>peak_factor</x:v>
      </x:c>
      <x:c r="B7" s="3" t="n">
        <x:v>6</x:v>
      </x:c>
      <x:c r="C7" s="3" t="str">
        <x:v>Input</x:v>
      </x:c>
    </x:row>
    <x:row r="8" ht="38" customHeight="1">
      <x:c r="A8" s="3" t="str">
        <x:v>staging_ratio</x:v>
      </x:c>
      <x:c r="B8" s="3" t="n">
        <x:v>0.05</x:v>
      </x:c>
      <x:c r="C8" s="3" t="str">
        <x:v>Input</x:v>
      </x:c>
    </x:row>
    <x:row r="9" ht="38" customHeight="1">
      <x:c r="A9" s="3" t="str">
        <x:v>escalation_ratio</x:v>
      </x:c>
      <x:c r="B9" s="3" t="n">
        <x:v>0.1</x:v>
      </x:c>
      <x:c r="C9" s="3" t="str">
        <x:v>Input</x:v>
      </x:c>
    </x:row>
    <x:row r="10" ht="38" customHeight="1">
      <x:c r="A10" s="3" t="str">
        <x:v>workspace_gb_per_user</x:v>
      </x:c>
      <x:c r="B10" s="3" t="n">
        <x:v>10</x:v>
      </x:c>
      <x:c r="C10" s="3" t="str">
        <x:v>Input</x:v>
      </x:c>
    </x:row>
    <x:row r="11" ht="38" customHeight="1">
      <x:c r="A11" s="3" t="str">
        <x:v>retry_ratio</x:v>
      </x:c>
      <x:c r="B11" s="3" t="n">
        <x:v>0.05</x:v>
      </x:c>
      <x:c r="C11" s="3" t="str">
        <x:v>Input</x:v>
      </x:c>
    </x:row>
    <x:row r="12" ht="38" customHeight="1">
      <x:c r="A12" s="3" t="str">
        <x:v>sonnet_input_million</x:v>
      </x:c>
      <x:c r="B12" s="3" t="n">
        <x:v>3.3</x:v>
      </x:c>
      <x:c r="C12" s="3" t="str">
        <x:v>Input</x:v>
      </x:c>
    </x:row>
    <x:row r="13" ht="38" customHeight="1">
      <x:c r="A13" s="3" t="str">
        <x:v>sonnet_output_million</x:v>
      </x:c>
      <x:c r="B13" s="3" t="n">
        <x:v>16.5</x:v>
      </x:c>
      <x:c r="C13" s="3" t="str">
        <x:v>Input</x:v>
      </x:c>
    </x:row>
    <x:row r="14" ht="38" customHeight="1">
      <x:c r="A14" s="3" t="str">
        <x:v>nova_input_million</x:v>
      </x:c>
      <x:c r="B14" s="3" t="n">
        <x:v>0.06</x:v>
      </x:c>
      <x:c r="C14" s="3" t="str">
        <x:v>Input</x:v>
      </x:c>
    </x:row>
    <x:row r="15" ht="38" customHeight="1">
      <x:c r="A15" s="3" t="str">
        <x:v>nova_output_million</x:v>
      </x:c>
      <x:c r="B15" s="3" t="n">
        <x:v>0.24</x:v>
      </x:c>
      <x:c r="C15" s="3" t="str">
        <x:v>Input</x:v>
      </x:c>
    </x:row>
    <x:row r="16" ht="38" customHeight="1">
      <x:c r="A16" s="3" t="str">
        <x:v>L1</x:v>
      </x:c>
      <x:c r="B16" s="3" t="n">
        <x:v>211200</x:v>
      </x:c>
      <x:c r="C16" s="3" t="str">
        <x:v>60% tasks; 2000/400 cumulative in/out tokens; Nova Lite</x:v>
      </x:c>
    </x:row>
    <x:row r="17" ht="38" customHeight="1">
      <x:c r="A17" s="3" t="str">
        <x:v>L2</x:v>
      </x:c>
      <x:c r="B17" s="3" t="n">
        <x:v>70400</x:v>
      </x:c>
      <x:c r="C17" s="3" t="str">
        <x:v>20% tasks; 4000/900 cumulative in/out tokens; Nova Lite</x:v>
      </x:c>
    </x:row>
    <x:row r="18" ht="38" customHeight="1">
      <x:c r="A18" s="3" t="str">
        <x:v>L3</x:v>
      </x:c>
      <x:c r="B18" s="3" t="n">
        <x:v>35200</x:v>
      </x:c>
      <x:c r="C18" s="3" t="str">
        <x:v>10% tasks; 6000/1500 cumulative in/out tokens; Claude Sonnet 4.5</x:v>
      </x:c>
    </x:row>
    <x:row r="19" ht="38" customHeight="1">
      <x:c r="A19" s="3" t="str">
        <x:v>L4</x:v>
      </x:c>
      <x:c r="B19" s="3" t="n">
        <x:v>31680</x:v>
      </x:c>
      <x:c r="C19" s="3" t="str">
        <x:v>9% tasks; 9000/1600 cumulative in/out tokens; Claude Sonnet 4.5</x:v>
      </x:c>
    </x:row>
    <x:row r="20" ht="38" customHeight="1">
      <x:c r="A20" s="3" t="str">
        <x:v>L5</x:v>
      </x:c>
      <x:c r="B20" s="3" t="n">
        <x:v>3520</x:v>
      </x:c>
      <x:c r="C20" s="3" t="str">
        <x:v>1% tasks; 2000/300 cumulative in/out tokens; Nova Lite + Nova Canvas</x:v>
      </x:c>
    </x:row>
    <x:row r="21" ht="38" customHeight="1">
      <x:c r="A21" s="3" t="str">
        <x:v>monthly_requests</x:v>
      </x:c>
      <x:c r="B21" s="3" t="n">
        <x:v>352000</x:v>
      </x:c>
      <x:c r="C21" s="3" t="str">
        <x:v>Từ script deterministic; thay input JSON và rebuild để cập nhật</x:v>
      </x:c>
    </x:row>
    <x:row r="22" ht="38" customHeight="1">
      <x:c r="A22" s="3" t="str">
        <x:v>input_tokens_million</x:v>
      </x:c>
      <x:c r="B22" s="3" t="n">
        <x:v>1207.3600000000001</x:v>
      </x:c>
      <x:c r="C22" s="3" t="str">
        <x:v>Từ script deterministic; thay input JSON và rebuild để cập nhật</x:v>
      </x:c>
    </x:row>
    <x:row r="23" ht="38" customHeight="1">
      <x:c r="A23" s="3" t="str">
        <x:v>output_tokens_million</x:v>
      </x:c>
      <x:c r="B23" s="3" t="n">
        <x:v>252.384</x:v>
      </x:c>
      <x:c r="C23" s="3" t="str">
        <x:v>Từ script deterministic; thay input JSON và rebuild để cập nhật</x:v>
      </x:c>
    </x:row>
    <x:row r="24" ht="38" customHeight="1">
      <x:c r="A24" s="3" t="str">
        <x:v>peak_rps</x:v>
      </x:c>
      <x:c r="B24" s="3" t="n">
        <x:v>2.6666666666666665</x:v>
      </x:c>
      <x:c r="C24" s="3" t="str">
        <x:v>Từ script deterministic; thay input JSON và rebuild để cập nhật</x:v>
      </x:c>
    </x:row>
    <x:row r="25" ht="38" customHeight="1">
      <x:c r="A25" s="3" t="str">
        <x:v>peak_concurrency</x:v>
      </x:c>
      <x:c r="B25" s="3" t="n">
        <x:v>53.33333333333333</x:v>
      </x:c>
      <x:c r="C25" s="3" t="str">
        <x:v>Từ script deterministic; thay input JSON và rebuild để cập nhật</x:v>
      </x:c>
    </x:row>
    <x:row r="26" ht="38" customHeight="1">
      <x:c r="A26" s="3" t="str">
        <x:v>peak_input_tpm</x:v>
      </x:c>
      <x:c r="B26" s="3" t="n">
        <x:v>548800.0000000001</x:v>
      </x:c>
      <x:c r="C26" s="3" t="str">
        <x:v>Từ script deterministic; thay input JSON và rebuild để cập nhật</x:v>
      </x:c>
    </x:row>
    <x:row r="27" ht="38" customHeight="1">
      <x:c r="A27" s="3" t="str">
        <x:v>peak_output_tpm</x:v>
      </x:c>
      <x:c r="B27" s="3" t="n">
        <x:v>114720</x:v>
      </x:c>
      <x:c r="C27" s="3" t="str">
        <x:v>Từ script deterministic; thay input JSON và rebuild để cập nhật</x:v>
      </x:c>
    </x:row>
    <x:row r="28" ht="38" customHeight="1">
      <x:c r="A28" s="3" t="str">
        <x:v>aws_recurring</x:v>
      </x:c>
      <x:c r="B28" s="3" t="n">
        <x:v>5573.88</x:v>
      </x:c>
      <x:c r="C28" s="3" t="str">
        <x:v>Từ script deterministic; thay input JSON và rebuild để cập nhật</x:v>
      </x:c>
    </x:row>
    <x:row r="29" ht="38" customHeight="1">
      <x:c r="A29" s="3" t="str">
        <x:v>labor</x:v>
      </x:c>
      <x:c r="B29" s="3" t="n">
        <x:v>200</x:v>
      </x:c>
      <x:c r="C29" s="3" t="str">
        <x:v>Từ script deterministic; thay input JSON và rebuild để cập nhật</x:v>
      </x:c>
    </x:row>
    <x:row r="30" ht="38" customHeight="1">
      <x:c r="A30" s="3" t="str">
        <x:v>contingency</x:v>
      </x:c>
      <x:c r="B30" s="3" t="n">
        <x:v>557.39</x:v>
      </x:c>
      <x:c r="C30" s="3" t="str">
        <x:v>Từ script deterministic; thay input JSON và rebuild để cập nhật</x:v>
      </x:c>
    </x:row>
    <x:row r="31" ht="38" customHeight="1">
      <x:c r="A31" s="3" t="str">
        <x:v>total</x:v>
      </x:c>
      <x:c r="B31" s="3" t="n">
        <x:v>6331.27</x:v>
      </x:c>
      <x:c r="C31" s="3" t="str">
        <x:v>Từ script deterministic; thay input JSON và rebuild để cập nhật</x:v>
      </x:c>
    </x:row>
    <x:row r="32" ht="38" customHeight="1">
      <x:c r="A32" s="3" t="str">
        <x:v>per_dau</x:v>
      </x:c>
      <x:c r="B32" s="3" t="n">
        <x:v>3.17</x:v>
      </x:c>
      <x:c r="C32" s="3" t="str">
        <x:v>Từ script deterministic; thay input JSON và rebuild để cập nhật</x:v>
      </x:c>
    </x:row>
    <x:row r="33" ht="38" customHeight="1">
      <x:c r="A33" s="3" t="str">
        <x:v>all_reference_total</x:v>
      </x:c>
      <x:c r="B33" s="3" t="n">
        <x:v>11478.78</x:v>
      </x:c>
      <x:c r="C33" s="3" t="str">
        <x:v>Từ script deterministic; thay input JSON và rebuild để cập nhật</x:v>
      </x:c>
    </x:row>
    <x:row r="34" ht="38" customHeight="1">
      <x:c r="A34" s="3" t="str">
        <x:v>sparse_workspace_total</x:v>
      </x:c>
      <x:c r="B34" s="3" t="n">
        <x:v>5875.87</x:v>
      </x:c>
      <x:c r="C34" s="3" t="str">
        <x:v>Từ script deterministic; thay input JSON và rebuild để cập nhật</x:v>
      </x:c>
    </x:row>
    <x:row r="35" ht="38" customHeight="1">
      <x:c r="A35" s="3" t="str">
        <x:v>double_dau_total</x:v>
      </x:c>
      <x:c r="B35" s="3" t="n">
        <x:v>12562.54</x:v>
      </x:c>
      <x:c r="C35" s="3" t="str">
        <x:v>Từ script deterministic; thay input JSON và rebuild để cập nhật</x:v>
      </x:c>
    </x:row>
    <x:row r="36" ht="38" customHeight="1">
      <x:c r="A36" s="3" t="str">
        <x:v>Lưu ý</x:v>
      </x:c>
      <x:c r="B36" s="3" t="str">
        <x:v>H6/H8/DR chưa kiểm thử</x:v>
      </x:c>
      <x:c r="C36" s="3" t="str">
        <x:v>Giá tham chiếu, không phải hóa đơn AWS. Không trừ ưu đãi.</x:v>
      </x:c>
    </x:row>
    <x:row r="37" ht="38" customHeight="1">
      <x:c r="A37" s="3" t="str">
        <x:v>Phạm vi</x:v>
      </x:c>
      <x:c r="B37" s="3" t="str">
        <x:v>us-east-1; US geo inference</x:v>
      </x:c>
      <x:c r="C37" s="3" t="str">
        <x:v>Không có slide deck hoặc application implementation trong gói thiết kế này.</x:v>
      </x:c>
    </x:row>
  </x:sheetData>
  <x:pageMargins left="0.7" right="0.7" top="0.75" bottom="0.75" header="0.3" footer="0.3"/>
</x:worksheet>
</file>